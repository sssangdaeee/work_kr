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park\Desktop\"/>
    </mc:Choice>
  </mc:AlternateContent>
  <xr:revisionPtr revIDLastSave="0" documentId="13_ncr:1_{3D5AA7AD-8DE2-4BD5-8993-6EA93B231550}" xr6:coauthVersionLast="47" xr6:coauthVersionMax="47" xr10:uidLastSave="{00000000-0000-0000-0000-000000000000}"/>
  <bookViews>
    <workbookView xWindow="-120" yWindow="-120" windowWidth="57840" windowHeight="23520" activeTab="2" xr2:uid="{E2A70851-B464-4AF9-8BB4-1C8F5FE3C88B}"/>
  </bookViews>
  <sheets>
    <sheet name="Raw" sheetId="1" r:id="rId1"/>
    <sheet name="PowerQuery" sheetId="2" r:id="rId2"/>
    <sheet name="Result" sheetId="3" r:id="rId3"/>
  </sheets>
  <definedNames>
    <definedName name="ExternalData_1" localSheetId="1" hidden="1">PowerQuery!$A$1:$I$379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3" l="1"/>
  <c r="J15" i="3" s="1"/>
  <c r="M15" i="3"/>
  <c r="N15" i="3" s="1"/>
  <c r="I16" i="3"/>
  <c r="J16" i="3"/>
  <c r="M16" i="3"/>
  <c r="N16" i="3"/>
  <c r="I17" i="3"/>
  <c r="J17" i="3"/>
  <c r="M17" i="3"/>
  <c r="N17" i="3" s="1"/>
  <c r="I18" i="3"/>
  <c r="J18" i="3" s="1"/>
  <c r="M18" i="3"/>
  <c r="N18" i="3" s="1"/>
  <c r="I19" i="3"/>
  <c r="J19" i="3" s="1"/>
  <c r="M19" i="3"/>
  <c r="N19" i="3" s="1"/>
  <c r="I20" i="3"/>
  <c r="J20" i="3"/>
  <c r="M20" i="3"/>
  <c r="N20" i="3"/>
  <c r="I21" i="3"/>
  <c r="J21" i="3"/>
  <c r="M21" i="3"/>
  <c r="N21" i="3" s="1"/>
  <c r="I22" i="3"/>
  <c r="J22" i="3" s="1"/>
  <c r="M22" i="3"/>
  <c r="N22" i="3" s="1"/>
  <c r="I23" i="3"/>
  <c r="J23" i="3" s="1"/>
  <c r="M23" i="3"/>
  <c r="N23" i="3" s="1"/>
  <c r="I24" i="3"/>
  <c r="J24" i="3"/>
  <c r="M24" i="3"/>
  <c r="N24" i="3"/>
  <c r="I25" i="3"/>
  <c r="J25" i="3"/>
  <c r="M25" i="3"/>
  <c r="N25" i="3" s="1"/>
  <c r="I26" i="3"/>
  <c r="J26" i="3" s="1"/>
  <c r="M26" i="3"/>
  <c r="N26" i="3" s="1"/>
  <c r="I27" i="3"/>
  <c r="J27" i="3" s="1"/>
  <c r="M27" i="3"/>
  <c r="N27" i="3" s="1"/>
  <c r="I28" i="3"/>
  <c r="J28" i="3"/>
  <c r="M28" i="3"/>
  <c r="N28" i="3"/>
  <c r="I29" i="3"/>
  <c r="J29" i="3"/>
  <c r="M29" i="3"/>
  <c r="N29" i="3" s="1"/>
  <c r="I30" i="3"/>
  <c r="J30" i="3" s="1"/>
  <c r="M30" i="3"/>
  <c r="N30" i="3" s="1"/>
  <c r="I31" i="3"/>
  <c r="J31" i="3" s="1"/>
  <c r="M31" i="3"/>
  <c r="N31" i="3" s="1"/>
  <c r="I32" i="3"/>
  <c r="J32" i="3"/>
  <c r="M32" i="3"/>
  <c r="N32" i="3"/>
  <c r="I33" i="3"/>
  <c r="J33" i="3"/>
  <c r="M33" i="3"/>
  <c r="N33" i="3" s="1"/>
  <c r="I34" i="3"/>
  <c r="J34" i="3" s="1"/>
  <c r="M34" i="3"/>
  <c r="N34" i="3" s="1"/>
  <c r="I35" i="3"/>
  <c r="J35" i="3" s="1"/>
  <c r="M35" i="3"/>
  <c r="N35" i="3" s="1"/>
  <c r="I36" i="3"/>
  <c r="J36" i="3"/>
  <c r="M36" i="3"/>
  <c r="N36" i="3"/>
  <c r="I37" i="3"/>
  <c r="J37" i="3"/>
  <c r="M37" i="3"/>
  <c r="N37" i="3" s="1"/>
  <c r="I38" i="3"/>
  <c r="J38" i="3" s="1"/>
  <c r="M38" i="3"/>
  <c r="N38" i="3" s="1"/>
  <c r="I39" i="3"/>
  <c r="J39" i="3" s="1"/>
  <c r="M39" i="3"/>
  <c r="N39" i="3" s="1"/>
  <c r="I40" i="3"/>
  <c r="J40" i="3"/>
  <c r="M40" i="3"/>
  <c r="N40" i="3"/>
  <c r="I41" i="3"/>
  <c r="J41" i="3"/>
  <c r="M41" i="3"/>
  <c r="N41" i="3" s="1"/>
  <c r="I42" i="3"/>
  <c r="J42" i="3" s="1"/>
  <c r="M42" i="3"/>
  <c r="N42" i="3" s="1"/>
  <c r="I43" i="3"/>
  <c r="J43" i="3" s="1"/>
  <c r="M43" i="3"/>
  <c r="N43" i="3" s="1"/>
  <c r="I44" i="3"/>
  <c r="J44" i="3"/>
  <c r="M44" i="3"/>
  <c r="N44" i="3"/>
  <c r="I45" i="3"/>
  <c r="J45" i="3"/>
  <c r="M45" i="3"/>
  <c r="N45" i="3" s="1"/>
  <c r="I46" i="3"/>
  <c r="J46" i="3" s="1"/>
  <c r="M46" i="3"/>
  <c r="N46" i="3" s="1"/>
  <c r="I47" i="3"/>
  <c r="J47" i="3" s="1"/>
  <c r="M47" i="3"/>
  <c r="N47" i="3" s="1"/>
  <c r="I48" i="3"/>
  <c r="J48" i="3"/>
  <c r="M48" i="3"/>
  <c r="N48" i="3"/>
  <c r="I49" i="3"/>
  <c r="J49" i="3"/>
  <c r="M49" i="3"/>
  <c r="N49" i="3" s="1"/>
  <c r="I50" i="3"/>
  <c r="J50" i="3" s="1"/>
  <c r="M50" i="3"/>
  <c r="N50" i="3" s="1"/>
  <c r="I51" i="3"/>
  <c r="J51" i="3" s="1"/>
  <c r="M51" i="3"/>
  <c r="N51" i="3" s="1"/>
  <c r="I52" i="3"/>
  <c r="J52" i="3"/>
  <c r="M52" i="3"/>
  <c r="N52" i="3"/>
  <c r="I53" i="3"/>
  <c r="J53" i="3"/>
  <c r="M53" i="3"/>
  <c r="N53" i="3" s="1"/>
  <c r="I54" i="3"/>
  <c r="J54" i="3" s="1"/>
  <c r="M54" i="3"/>
  <c r="N54" i="3" s="1"/>
  <c r="I55" i="3"/>
  <c r="J55" i="3" s="1"/>
  <c r="M55" i="3"/>
  <c r="N55" i="3" s="1"/>
  <c r="I56" i="3"/>
  <c r="J56" i="3"/>
  <c r="M56" i="3"/>
  <c r="N56" i="3"/>
  <c r="I57" i="3"/>
  <c r="J57" i="3"/>
  <c r="M57" i="3"/>
  <c r="N57" i="3" s="1"/>
  <c r="I58" i="3"/>
  <c r="J58" i="3" s="1"/>
  <c r="M58" i="3"/>
  <c r="N58" i="3" s="1"/>
  <c r="I59" i="3"/>
  <c r="J59" i="3" s="1"/>
  <c r="M59" i="3"/>
  <c r="N59" i="3" s="1"/>
  <c r="I60" i="3"/>
  <c r="J60" i="3"/>
  <c r="M60" i="3"/>
  <c r="N60" i="3"/>
  <c r="I61" i="3"/>
  <c r="J61" i="3"/>
  <c r="M61" i="3"/>
  <c r="N61" i="3" s="1"/>
  <c r="I62" i="3"/>
  <c r="J62" i="3" s="1"/>
  <c r="M62" i="3"/>
  <c r="N62" i="3" s="1"/>
  <c r="I63" i="3"/>
  <c r="J63" i="3" s="1"/>
  <c r="M63" i="3"/>
  <c r="N63" i="3" s="1"/>
  <c r="I64" i="3"/>
  <c r="J64" i="3"/>
  <c r="M64" i="3"/>
  <c r="N64" i="3"/>
  <c r="M7" i="3"/>
  <c r="M8" i="3"/>
  <c r="M9" i="3"/>
  <c r="M10" i="3"/>
  <c r="M11" i="3"/>
  <c r="N11" i="3" s="1"/>
  <c r="M12" i="3"/>
  <c r="N12" i="3" s="1"/>
  <c r="M13" i="3"/>
  <c r="N13" i="3" s="1"/>
  <c r="M14" i="3"/>
  <c r="N14" i="3" s="1"/>
  <c r="M6" i="3"/>
  <c r="N10" i="3"/>
  <c r="N9" i="3"/>
  <c r="N8" i="3"/>
  <c r="N7" i="3"/>
  <c r="I7" i="3"/>
  <c r="J7" i="3" s="1"/>
  <c r="I8" i="3"/>
  <c r="I9" i="3"/>
  <c r="I10" i="3"/>
  <c r="I11" i="3"/>
  <c r="J11" i="3" s="1"/>
  <c r="I12" i="3"/>
  <c r="J12" i="3" s="1"/>
  <c r="I13" i="3"/>
  <c r="J13" i="3" s="1"/>
  <c r="I14" i="3"/>
  <c r="J14" i="3" s="1"/>
  <c r="I6" i="3"/>
  <c r="J6" i="3" s="1"/>
  <c r="J8" i="3"/>
  <c r="J9" i="3"/>
  <c r="J10" i="3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I4" i="1"/>
  <c r="I5" i="1"/>
  <c r="I6" i="1"/>
  <c r="I7" i="1"/>
  <c r="I8" i="1"/>
  <c r="I9" i="1"/>
  <c r="I10" i="1"/>
  <c r="I11" i="1"/>
  <c r="I12" i="1"/>
  <c r="I3" i="1"/>
  <c r="K16" i="3" l="1"/>
  <c r="K20" i="3"/>
  <c r="K24" i="3"/>
  <c r="K28" i="3"/>
  <c r="K32" i="3"/>
  <c r="K36" i="3"/>
  <c r="K40" i="3"/>
  <c r="K44" i="3"/>
  <c r="K48" i="3"/>
  <c r="K52" i="3"/>
  <c r="K56" i="3"/>
  <c r="K60" i="3"/>
  <c r="K64" i="3"/>
  <c r="K23" i="3"/>
  <c r="K35" i="3"/>
  <c r="K39" i="3"/>
  <c r="K51" i="3"/>
  <c r="K15" i="3"/>
  <c r="K19" i="3"/>
  <c r="K27" i="3"/>
  <c r="K31" i="3"/>
  <c r="K43" i="3"/>
  <c r="K47" i="3"/>
  <c r="K55" i="3"/>
  <c r="K59" i="3"/>
  <c r="K63" i="3"/>
  <c r="K18" i="3"/>
  <c r="K22" i="3"/>
  <c r="K26" i="3"/>
  <c r="K30" i="3"/>
  <c r="K34" i="3"/>
  <c r="K38" i="3"/>
  <c r="K42" i="3"/>
  <c r="K46" i="3"/>
  <c r="K50" i="3"/>
  <c r="K54" i="3"/>
  <c r="K58" i="3"/>
  <c r="K62" i="3"/>
  <c r="K17" i="3"/>
  <c r="K21" i="3"/>
  <c r="K25" i="3"/>
  <c r="K29" i="3"/>
  <c r="K33" i="3"/>
  <c r="K37" i="3"/>
  <c r="K41" i="3"/>
  <c r="K45" i="3"/>
  <c r="K49" i="3"/>
  <c r="K53" i="3"/>
  <c r="K57" i="3"/>
  <c r="K61" i="3"/>
  <c r="O17" i="3"/>
  <c r="O21" i="3"/>
  <c r="O25" i="3"/>
  <c r="O29" i="3"/>
  <c r="O33" i="3"/>
  <c r="O37" i="3"/>
  <c r="O41" i="3"/>
  <c r="O45" i="3"/>
  <c r="O49" i="3"/>
  <c r="O53" i="3"/>
  <c r="O57" i="3"/>
  <c r="O61" i="3"/>
  <c r="O54" i="3"/>
  <c r="O62" i="3"/>
  <c r="O16" i="3"/>
  <c r="O20" i="3"/>
  <c r="O24" i="3"/>
  <c r="O28" i="3"/>
  <c r="O32" i="3"/>
  <c r="O36" i="3"/>
  <c r="O40" i="3"/>
  <c r="O44" i="3"/>
  <c r="O48" i="3"/>
  <c r="O52" i="3"/>
  <c r="O56" i="3"/>
  <c r="O60" i="3"/>
  <c r="O64" i="3"/>
  <c r="O19" i="3"/>
  <c r="O23" i="3"/>
  <c r="O39" i="3"/>
  <c r="O51" i="3"/>
  <c r="O55" i="3"/>
  <c r="O63" i="3"/>
  <c r="O27" i="3"/>
  <c r="O31" i="3"/>
  <c r="O47" i="3"/>
  <c r="O59" i="3"/>
  <c r="O50" i="3"/>
  <c r="O15" i="3"/>
  <c r="O35" i="3"/>
  <c r="O43" i="3"/>
  <c r="O18" i="3"/>
  <c r="O22" i="3"/>
  <c r="O26" i="3"/>
  <c r="O30" i="3"/>
  <c r="O34" i="3"/>
  <c r="O38" i="3"/>
  <c r="O42" i="3"/>
  <c r="O46" i="3"/>
  <c r="O58" i="3"/>
  <c r="N6" i="3"/>
  <c r="K7" i="3"/>
  <c r="K14" i="3"/>
  <c r="K13" i="3"/>
  <c r="K12" i="3"/>
  <c r="K11" i="3"/>
  <c r="K10" i="3"/>
  <c r="K9" i="3"/>
  <c r="K8" i="3"/>
  <c r="K6" i="3"/>
  <c r="O7" i="3" l="1"/>
  <c r="O6" i="3"/>
  <c r="O8" i="3"/>
  <c r="O9" i="3"/>
  <c r="O10" i="3"/>
  <c r="O11" i="3"/>
  <c r="O12" i="3"/>
  <c r="O13" i="3"/>
  <c r="O1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3C8E01-D16A-4584-B981-7A46513097E8}" keepAlive="1" name="쿼리 - 표1" description="통합 문서의 '표1' 쿼리에 대한 연결입니다." type="5" refreshedVersion="8" background="1" saveData="1">
    <dbPr connection="Provider=Microsoft.Mashup.OleDb.1;Data Source=$Workbook$;Location=표1;Extended Properties=&quot;&quot;" command="SELECT * FROM [표1]"/>
  </connection>
</connections>
</file>

<file path=xl/sharedStrings.xml><?xml version="1.0" encoding="utf-8"?>
<sst xmlns="http://schemas.openxmlformats.org/spreadsheetml/2006/main" count="1589" uniqueCount="62">
  <si>
    <t>계약자#</t>
  </si>
  <si>
    <t>계약자#</t>
    <phoneticPr fontId="2" type="noConversion"/>
  </si>
  <si>
    <t>계약상태</t>
  </si>
  <si>
    <t>계약상태</t>
    <phoneticPr fontId="2" type="noConversion"/>
  </si>
  <si>
    <t>해지</t>
  </si>
  <si>
    <t>해지</t>
    <phoneticPr fontId="2" type="noConversion"/>
  </si>
  <si>
    <t>유지</t>
  </si>
  <si>
    <t>유지</t>
    <phoneticPr fontId="2" type="noConversion"/>
  </si>
  <si>
    <t>만기</t>
  </si>
  <si>
    <t>만기</t>
    <phoneticPr fontId="2" type="noConversion"/>
  </si>
  <si>
    <t>실효</t>
  </si>
  <si>
    <t>실효</t>
    <phoneticPr fontId="2" type="noConversion"/>
  </si>
  <si>
    <t>청약일자</t>
  </si>
  <si>
    <t>청약일자</t>
    <phoneticPr fontId="2" type="noConversion"/>
  </si>
  <si>
    <t>상태일자</t>
  </si>
  <si>
    <t>상태일자</t>
    <phoneticPr fontId="2" type="noConversion"/>
  </si>
  <si>
    <t>연령그룹</t>
  </si>
  <si>
    <t>연령그룹</t>
    <phoneticPr fontId="2" type="noConversion"/>
  </si>
  <si>
    <t>가입금액그룹</t>
  </si>
  <si>
    <t>가입금액그룹</t>
    <phoneticPr fontId="2" type="noConversion"/>
  </si>
  <si>
    <t>설계사경유</t>
  </si>
  <si>
    <t>설계사경유</t>
    <phoneticPr fontId="2" type="noConversion"/>
  </si>
  <si>
    <t>30대</t>
  </si>
  <si>
    <t>30대</t>
    <phoneticPr fontId="2" type="noConversion"/>
  </si>
  <si>
    <t>20대</t>
  </si>
  <si>
    <t>20대</t>
    <phoneticPr fontId="2" type="noConversion"/>
  </si>
  <si>
    <t>40대</t>
  </si>
  <si>
    <t>40대</t>
    <phoneticPr fontId="2" type="noConversion"/>
  </si>
  <si>
    <t>50대</t>
  </si>
  <si>
    <t>50대</t>
    <phoneticPr fontId="2" type="noConversion"/>
  </si>
  <si>
    <t>60대</t>
  </si>
  <si>
    <t>60대</t>
    <phoneticPr fontId="2" type="noConversion"/>
  </si>
  <si>
    <t>100-200</t>
  </si>
  <si>
    <t>100-200</t>
    <phoneticPr fontId="2" type="noConversion"/>
  </si>
  <si>
    <t>200-300</t>
  </si>
  <si>
    <t>200-300</t>
    <phoneticPr fontId="2" type="noConversion"/>
  </si>
  <si>
    <t>400-500</t>
  </si>
  <si>
    <t>400-500</t>
    <phoneticPr fontId="2" type="noConversion"/>
  </si>
  <si>
    <t>300-400</t>
  </si>
  <si>
    <t>300-400</t>
    <phoneticPr fontId="2" type="noConversion"/>
  </si>
  <si>
    <t>500-600</t>
  </si>
  <si>
    <t>500-600</t>
    <phoneticPr fontId="2" type="noConversion"/>
  </si>
  <si>
    <t>Y</t>
  </si>
  <si>
    <t>Y</t>
    <phoneticPr fontId="2" type="noConversion"/>
  </si>
  <si>
    <t>N</t>
  </si>
  <si>
    <t>N</t>
    <phoneticPr fontId="2" type="noConversion"/>
  </si>
  <si>
    <t>유지회차</t>
  </si>
  <si>
    <t>유지회차</t>
    <phoneticPr fontId="2" type="noConversion"/>
  </si>
  <si>
    <t>회차리스트</t>
  </si>
  <si>
    <t>이벤트</t>
    <phoneticPr fontId="2" type="noConversion"/>
  </si>
  <si>
    <t>행 레이블</t>
  </si>
  <si>
    <t>총합계</t>
  </si>
  <si>
    <t>합계 : 계약자#</t>
  </si>
  <si>
    <t>합계 : 이벤트</t>
  </si>
  <si>
    <t>탈퇴율</t>
    <phoneticPr fontId="2" type="noConversion"/>
  </si>
  <si>
    <t>유지율</t>
    <phoneticPr fontId="2" type="noConversion"/>
  </si>
  <si>
    <t>누적유지율</t>
    <phoneticPr fontId="2" type="noConversion"/>
  </si>
  <si>
    <t>열 레이블</t>
  </si>
  <si>
    <t>전체 합계 : 계약자#</t>
  </si>
  <si>
    <t>전체 합계 : 이벤트</t>
  </si>
  <si>
    <t>설계사 N</t>
    <phoneticPr fontId="2" type="noConversion"/>
  </si>
  <si>
    <t>설계사 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</si>
</sst>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.0%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>
      <alignment vertical="center"/>
    </xf>
    <xf numFmtId="22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41" fontId="0" fillId="0" borderId="0" xfId="0" applyNumberFormat="1">
      <alignment vertical="center"/>
    </xf>
    <xf numFmtId="177" fontId="0" fillId="0" borderId="0" xfId="1" applyNumberFormat="1" applyFont="1">
      <alignment vertical="center"/>
    </xf>
    <xf numFmtId="177" fontId="0" fillId="0" borderId="0" xfId="0" applyNumberFormat="1">
      <alignment vertical="center"/>
    </xf>
  </cellXfs>
  <cellStyles count="2">
    <cellStyle name="백분율" xfId="1" builtinId="5"/>
    <cellStyle name="표준" xfId="0" builtinId="0"/>
  </cellStyles>
  <dxfs count="20">
    <dxf>
      <numFmt numFmtId="33" formatCode="_-* #,##0_-;\-* #,##0_-;_-* &quot;-&quot;_-;_-@_-"/>
    </dxf>
    <dxf>
      <numFmt numFmtId="33" formatCode="_-* #,##0_-;\-* #,##0_-;_-* &quot;-&quot;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:mm"/>
    </dxf>
    <dxf>
      <numFmt numFmtId="27" formatCode="yyyy/mm/dd\ h:mm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numFmt numFmtId="176" formatCode="0_);[Red]\(0\)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yyyy/mm/dd"/>
      <alignment horizontal="center" vertical="center" textRotation="0" wrapText="0" indent="0" justifyLastLine="0" shrinkToFit="0" readingOrder="0"/>
    </dxf>
    <dxf>
      <numFmt numFmtId="19" formatCode="yyyy/mm/dd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3" formatCode="_-* #,##0_-;\-* #,##0_-;_-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b="1"/>
              <a:t>설계사 경유 별 유지율 비교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marker>
            <c:symbol val="none"/>
          </c:marker>
          <c:cat>
            <c:numRef>
              <c:f>Result!$A$6:$A$60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</c:numCache>
            </c:numRef>
          </c:cat>
          <c:val>
            <c:numRef>
              <c:f>Result!$K$6:$K$60</c:f>
              <c:numCache>
                <c:formatCode>0.0%</c:formatCode>
                <c:ptCount val="5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0.85714285714285721</c:v>
                </c:pt>
                <c:pt idx="35">
                  <c:v>0.85714285714285721</c:v>
                </c:pt>
                <c:pt idx="36">
                  <c:v>0.85714285714285721</c:v>
                </c:pt>
                <c:pt idx="37">
                  <c:v>0.85714285714285721</c:v>
                </c:pt>
                <c:pt idx="38">
                  <c:v>0.85714285714285721</c:v>
                </c:pt>
                <c:pt idx="39">
                  <c:v>0.85714285714285721</c:v>
                </c:pt>
                <c:pt idx="40">
                  <c:v>0.85714285714285721</c:v>
                </c:pt>
                <c:pt idx="41">
                  <c:v>0.85714285714285721</c:v>
                </c:pt>
                <c:pt idx="42">
                  <c:v>0.85714285714285721</c:v>
                </c:pt>
                <c:pt idx="43">
                  <c:v>0.85714285714285721</c:v>
                </c:pt>
                <c:pt idx="44">
                  <c:v>0.85714285714285721</c:v>
                </c:pt>
                <c:pt idx="45">
                  <c:v>0.85714285714285721</c:v>
                </c:pt>
                <c:pt idx="46">
                  <c:v>0.85714285714285721</c:v>
                </c:pt>
                <c:pt idx="47">
                  <c:v>0.85714285714285721</c:v>
                </c:pt>
                <c:pt idx="48">
                  <c:v>0.85714285714285721</c:v>
                </c:pt>
                <c:pt idx="49">
                  <c:v>0.85714285714285721</c:v>
                </c:pt>
                <c:pt idx="50">
                  <c:v>0.85714285714285721</c:v>
                </c:pt>
                <c:pt idx="51">
                  <c:v>0.85714285714285721</c:v>
                </c:pt>
                <c:pt idx="52">
                  <c:v>0.85714285714285721</c:v>
                </c:pt>
                <c:pt idx="53">
                  <c:v>0.85714285714285721</c:v>
                </c:pt>
                <c:pt idx="54">
                  <c:v>0.85714285714285721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F4-44D8-9416-986440454EDD}"/>
            </c:ext>
          </c:extLst>
        </c:ser>
        <c:ser>
          <c:idx val="0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Result!$A$6:$A$60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</c:numCache>
            </c:numRef>
          </c:cat>
          <c:val>
            <c:numRef>
              <c:f>Result!$O$6:$O$60</c:f>
              <c:numCache>
                <c:formatCode>0.0%</c:formatCode>
                <c:ptCount val="5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0.96</c:v>
                </c:pt>
                <c:pt idx="35">
                  <c:v>0.96</c:v>
                </c:pt>
                <c:pt idx="36">
                  <c:v>0.96</c:v>
                </c:pt>
                <c:pt idx="37">
                  <c:v>0.96</c:v>
                </c:pt>
                <c:pt idx="38">
                  <c:v>0.96</c:v>
                </c:pt>
                <c:pt idx="39">
                  <c:v>0.96</c:v>
                </c:pt>
                <c:pt idx="40">
                  <c:v>0.96</c:v>
                </c:pt>
                <c:pt idx="41">
                  <c:v>0.96</c:v>
                </c:pt>
                <c:pt idx="42">
                  <c:v>0.96</c:v>
                </c:pt>
                <c:pt idx="43">
                  <c:v>0.96</c:v>
                </c:pt>
                <c:pt idx="44">
                  <c:v>0.96</c:v>
                </c:pt>
                <c:pt idx="45">
                  <c:v>0.96</c:v>
                </c:pt>
                <c:pt idx="46">
                  <c:v>0.88615384615384618</c:v>
                </c:pt>
                <c:pt idx="47">
                  <c:v>0.88615384615384618</c:v>
                </c:pt>
                <c:pt idx="48">
                  <c:v>0.88615384615384618</c:v>
                </c:pt>
                <c:pt idx="49">
                  <c:v>0.88615384615384618</c:v>
                </c:pt>
                <c:pt idx="50">
                  <c:v>0.88615384615384618</c:v>
                </c:pt>
                <c:pt idx="51">
                  <c:v>0.88615384615384618</c:v>
                </c:pt>
                <c:pt idx="52">
                  <c:v>0.88615384615384618</c:v>
                </c:pt>
                <c:pt idx="53">
                  <c:v>0.88615384615384618</c:v>
                </c:pt>
                <c:pt idx="54">
                  <c:v>0.88615384615384618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F4-44D8-9416-986440454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8099472"/>
        <c:axId val="1218099952"/>
      </c:lineChart>
      <c:catAx>
        <c:axId val="121809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18099952"/>
        <c:crosses val="autoZero"/>
        <c:auto val="1"/>
        <c:lblAlgn val="ctr"/>
        <c:lblOffset val="100"/>
        <c:noMultiLvlLbl val="0"/>
      </c:catAx>
      <c:valAx>
        <c:axId val="121809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1809947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379800</xdr:colOff>
      <xdr:row>4</xdr:row>
      <xdr:rowOff>7522</xdr:rowOff>
    </xdr:from>
    <xdr:to>
      <xdr:col>32</xdr:col>
      <xdr:colOff>638735</xdr:colOff>
      <xdr:row>42</xdr:row>
      <xdr:rowOff>168088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B4316B2-4698-D567-CBF3-8BC2E6CA7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박상대(Park Sang Dae)" refreshedDate="46122.373354976851" createdVersion="8" refreshedVersion="8" minRefreshableVersion="3" recordCount="378" xr:uid="{58250CEA-CEE9-4736-BD10-FC2F8C5E4DED}">
  <cacheSource type="worksheet">
    <worksheetSource name="표1_"/>
  </cacheSource>
  <cacheFields count="10">
    <cacheField name="계약자#" numFmtId="0">
      <sharedItems containsSemiMixedTypes="0" containsString="0" containsNumber="1" containsInteger="1" minValue="1" maxValue="10"/>
    </cacheField>
    <cacheField name="계약상태" numFmtId="0">
      <sharedItems/>
    </cacheField>
    <cacheField name="청약일자" numFmtId="22">
      <sharedItems containsSemiMixedTypes="0" containsNonDate="0" containsDate="1" containsString="0" minDate="2020-01-01T00:00:00" maxDate="2025-01-02T00:00:00"/>
    </cacheField>
    <cacheField name="상태일자" numFmtId="22">
      <sharedItems containsSemiMixedTypes="0" containsNonDate="0" containsDate="1" containsString="0" minDate="2024-03-15T00:00:00" maxDate="2026-04-01T00:00:00"/>
    </cacheField>
    <cacheField name="연령그룹" numFmtId="0">
      <sharedItems count="5">
        <s v="30대"/>
        <s v="20대"/>
        <s v="50대"/>
        <s v="60대"/>
        <s v="40대"/>
      </sharedItems>
    </cacheField>
    <cacheField name="가입금액그룹" numFmtId="0">
      <sharedItems/>
    </cacheField>
    <cacheField name="설계사경유" numFmtId="0">
      <sharedItems count="2">
        <s v="Y"/>
        <s v="N"/>
      </sharedItems>
    </cacheField>
    <cacheField name="유지회차" numFmtId="0">
      <sharedItems containsSemiMixedTypes="0" containsString="0" containsNumber="1" containsInteger="1" minValue="15" maxValue="59" count="9">
        <n v="56"/>
        <n v="59"/>
        <n v="35"/>
        <n v="47"/>
        <n v="27"/>
        <n v="15"/>
        <n v="49"/>
        <n v="36"/>
        <n v="19"/>
      </sharedItems>
    </cacheField>
    <cacheField name="회차리스트" numFmtId="0">
      <sharedItems containsSemiMixedTypes="0" containsString="0" containsNumber="1" containsInteger="1" minValue="1" maxValue="59" count="5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</sharedItems>
    </cacheField>
    <cacheField name="이벤트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8">
  <r>
    <n v="1"/>
    <s v="해지"/>
    <d v="2020-01-01T00:00:00"/>
    <d v="2024-09-30T00:00:00"/>
    <x v="0"/>
    <s v="100-200"/>
    <x v="0"/>
    <x v="0"/>
    <x v="0"/>
    <n v="0"/>
  </r>
  <r>
    <n v="1"/>
    <s v="해지"/>
    <d v="2020-01-01T00:00:00"/>
    <d v="2024-09-30T00:00:00"/>
    <x v="0"/>
    <s v="100-200"/>
    <x v="0"/>
    <x v="0"/>
    <x v="1"/>
    <n v="0"/>
  </r>
  <r>
    <n v="1"/>
    <s v="해지"/>
    <d v="2020-01-01T00:00:00"/>
    <d v="2024-09-30T00:00:00"/>
    <x v="0"/>
    <s v="100-200"/>
    <x v="0"/>
    <x v="0"/>
    <x v="2"/>
    <n v="0"/>
  </r>
  <r>
    <n v="1"/>
    <s v="해지"/>
    <d v="2020-01-01T00:00:00"/>
    <d v="2024-09-30T00:00:00"/>
    <x v="0"/>
    <s v="100-200"/>
    <x v="0"/>
    <x v="0"/>
    <x v="3"/>
    <n v="0"/>
  </r>
  <r>
    <n v="1"/>
    <s v="해지"/>
    <d v="2020-01-01T00:00:00"/>
    <d v="2024-09-30T00:00:00"/>
    <x v="0"/>
    <s v="100-200"/>
    <x v="0"/>
    <x v="0"/>
    <x v="4"/>
    <n v="0"/>
  </r>
  <r>
    <n v="1"/>
    <s v="해지"/>
    <d v="2020-01-01T00:00:00"/>
    <d v="2024-09-30T00:00:00"/>
    <x v="0"/>
    <s v="100-200"/>
    <x v="0"/>
    <x v="0"/>
    <x v="5"/>
    <n v="0"/>
  </r>
  <r>
    <n v="1"/>
    <s v="해지"/>
    <d v="2020-01-01T00:00:00"/>
    <d v="2024-09-30T00:00:00"/>
    <x v="0"/>
    <s v="100-200"/>
    <x v="0"/>
    <x v="0"/>
    <x v="6"/>
    <n v="0"/>
  </r>
  <r>
    <n v="1"/>
    <s v="해지"/>
    <d v="2020-01-01T00:00:00"/>
    <d v="2024-09-30T00:00:00"/>
    <x v="0"/>
    <s v="100-200"/>
    <x v="0"/>
    <x v="0"/>
    <x v="7"/>
    <n v="0"/>
  </r>
  <r>
    <n v="1"/>
    <s v="해지"/>
    <d v="2020-01-01T00:00:00"/>
    <d v="2024-09-30T00:00:00"/>
    <x v="0"/>
    <s v="100-200"/>
    <x v="0"/>
    <x v="0"/>
    <x v="8"/>
    <n v="0"/>
  </r>
  <r>
    <n v="1"/>
    <s v="해지"/>
    <d v="2020-01-01T00:00:00"/>
    <d v="2024-09-30T00:00:00"/>
    <x v="0"/>
    <s v="100-200"/>
    <x v="0"/>
    <x v="0"/>
    <x v="9"/>
    <n v="0"/>
  </r>
  <r>
    <n v="1"/>
    <s v="해지"/>
    <d v="2020-01-01T00:00:00"/>
    <d v="2024-09-30T00:00:00"/>
    <x v="0"/>
    <s v="100-200"/>
    <x v="0"/>
    <x v="0"/>
    <x v="10"/>
    <n v="0"/>
  </r>
  <r>
    <n v="1"/>
    <s v="해지"/>
    <d v="2020-01-01T00:00:00"/>
    <d v="2024-09-30T00:00:00"/>
    <x v="0"/>
    <s v="100-200"/>
    <x v="0"/>
    <x v="0"/>
    <x v="11"/>
    <n v="0"/>
  </r>
  <r>
    <n v="1"/>
    <s v="해지"/>
    <d v="2020-01-01T00:00:00"/>
    <d v="2024-09-30T00:00:00"/>
    <x v="0"/>
    <s v="100-200"/>
    <x v="0"/>
    <x v="0"/>
    <x v="12"/>
    <n v="0"/>
  </r>
  <r>
    <n v="1"/>
    <s v="해지"/>
    <d v="2020-01-01T00:00:00"/>
    <d v="2024-09-30T00:00:00"/>
    <x v="0"/>
    <s v="100-200"/>
    <x v="0"/>
    <x v="0"/>
    <x v="13"/>
    <n v="0"/>
  </r>
  <r>
    <n v="1"/>
    <s v="해지"/>
    <d v="2020-01-01T00:00:00"/>
    <d v="2024-09-30T00:00:00"/>
    <x v="0"/>
    <s v="100-200"/>
    <x v="0"/>
    <x v="0"/>
    <x v="14"/>
    <n v="0"/>
  </r>
  <r>
    <n v="1"/>
    <s v="해지"/>
    <d v="2020-01-01T00:00:00"/>
    <d v="2024-09-30T00:00:00"/>
    <x v="0"/>
    <s v="100-200"/>
    <x v="0"/>
    <x v="0"/>
    <x v="15"/>
    <n v="0"/>
  </r>
  <r>
    <n v="1"/>
    <s v="해지"/>
    <d v="2020-01-01T00:00:00"/>
    <d v="2024-09-30T00:00:00"/>
    <x v="0"/>
    <s v="100-200"/>
    <x v="0"/>
    <x v="0"/>
    <x v="16"/>
    <n v="0"/>
  </r>
  <r>
    <n v="1"/>
    <s v="해지"/>
    <d v="2020-01-01T00:00:00"/>
    <d v="2024-09-30T00:00:00"/>
    <x v="0"/>
    <s v="100-200"/>
    <x v="0"/>
    <x v="0"/>
    <x v="17"/>
    <n v="0"/>
  </r>
  <r>
    <n v="1"/>
    <s v="해지"/>
    <d v="2020-01-01T00:00:00"/>
    <d v="2024-09-30T00:00:00"/>
    <x v="0"/>
    <s v="100-200"/>
    <x v="0"/>
    <x v="0"/>
    <x v="18"/>
    <n v="0"/>
  </r>
  <r>
    <n v="1"/>
    <s v="해지"/>
    <d v="2020-01-01T00:00:00"/>
    <d v="2024-09-30T00:00:00"/>
    <x v="0"/>
    <s v="100-200"/>
    <x v="0"/>
    <x v="0"/>
    <x v="19"/>
    <n v="0"/>
  </r>
  <r>
    <n v="1"/>
    <s v="해지"/>
    <d v="2020-01-01T00:00:00"/>
    <d v="2024-09-30T00:00:00"/>
    <x v="0"/>
    <s v="100-200"/>
    <x v="0"/>
    <x v="0"/>
    <x v="20"/>
    <n v="0"/>
  </r>
  <r>
    <n v="1"/>
    <s v="해지"/>
    <d v="2020-01-01T00:00:00"/>
    <d v="2024-09-30T00:00:00"/>
    <x v="0"/>
    <s v="100-200"/>
    <x v="0"/>
    <x v="0"/>
    <x v="21"/>
    <n v="0"/>
  </r>
  <r>
    <n v="1"/>
    <s v="해지"/>
    <d v="2020-01-01T00:00:00"/>
    <d v="2024-09-30T00:00:00"/>
    <x v="0"/>
    <s v="100-200"/>
    <x v="0"/>
    <x v="0"/>
    <x v="22"/>
    <n v="0"/>
  </r>
  <r>
    <n v="1"/>
    <s v="해지"/>
    <d v="2020-01-01T00:00:00"/>
    <d v="2024-09-30T00:00:00"/>
    <x v="0"/>
    <s v="100-200"/>
    <x v="0"/>
    <x v="0"/>
    <x v="23"/>
    <n v="0"/>
  </r>
  <r>
    <n v="1"/>
    <s v="해지"/>
    <d v="2020-01-01T00:00:00"/>
    <d v="2024-09-30T00:00:00"/>
    <x v="0"/>
    <s v="100-200"/>
    <x v="0"/>
    <x v="0"/>
    <x v="24"/>
    <n v="0"/>
  </r>
  <r>
    <n v="1"/>
    <s v="해지"/>
    <d v="2020-01-01T00:00:00"/>
    <d v="2024-09-30T00:00:00"/>
    <x v="0"/>
    <s v="100-200"/>
    <x v="0"/>
    <x v="0"/>
    <x v="25"/>
    <n v="0"/>
  </r>
  <r>
    <n v="1"/>
    <s v="해지"/>
    <d v="2020-01-01T00:00:00"/>
    <d v="2024-09-30T00:00:00"/>
    <x v="0"/>
    <s v="100-200"/>
    <x v="0"/>
    <x v="0"/>
    <x v="26"/>
    <n v="0"/>
  </r>
  <r>
    <n v="1"/>
    <s v="해지"/>
    <d v="2020-01-01T00:00:00"/>
    <d v="2024-09-30T00:00:00"/>
    <x v="0"/>
    <s v="100-200"/>
    <x v="0"/>
    <x v="0"/>
    <x v="27"/>
    <n v="0"/>
  </r>
  <r>
    <n v="1"/>
    <s v="해지"/>
    <d v="2020-01-01T00:00:00"/>
    <d v="2024-09-30T00:00:00"/>
    <x v="0"/>
    <s v="100-200"/>
    <x v="0"/>
    <x v="0"/>
    <x v="28"/>
    <n v="0"/>
  </r>
  <r>
    <n v="1"/>
    <s v="해지"/>
    <d v="2020-01-01T00:00:00"/>
    <d v="2024-09-30T00:00:00"/>
    <x v="0"/>
    <s v="100-200"/>
    <x v="0"/>
    <x v="0"/>
    <x v="29"/>
    <n v="0"/>
  </r>
  <r>
    <n v="1"/>
    <s v="해지"/>
    <d v="2020-01-01T00:00:00"/>
    <d v="2024-09-30T00:00:00"/>
    <x v="0"/>
    <s v="100-200"/>
    <x v="0"/>
    <x v="0"/>
    <x v="30"/>
    <n v="0"/>
  </r>
  <r>
    <n v="1"/>
    <s v="해지"/>
    <d v="2020-01-01T00:00:00"/>
    <d v="2024-09-30T00:00:00"/>
    <x v="0"/>
    <s v="100-200"/>
    <x v="0"/>
    <x v="0"/>
    <x v="31"/>
    <n v="0"/>
  </r>
  <r>
    <n v="1"/>
    <s v="해지"/>
    <d v="2020-01-01T00:00:00"/>
    <d v="2024-09-30T00:00:00"/>
    <x v="0"/>
    <s v="100-200"/>
    <x v="0"/>
    <x v="0"/>
    <x v="32"/>
    <n v="0"/>
  </r>
  <r>
    <n v="1"/>
    <s v="해지"/>
    <d v="2020-01-01T00:00:00"/>
    <d v="2024-09-30T00:00:00"/>
    <x v="0"/>
    <s v="100-200"/>
    <x v="0"/>
    <x v="0"/>
    <x v="33"/>
    <n v="0"/>
  </r>
  <r>
    <n v="1"/>
    <s v="해지"/>
    <d v="2020-01-01T00:00:00"/>
    <d v="2024-09-30T00:00:00"/>
    <x v="0"/>
    <s v="100-200"/>
    <x v="0"/>
    <x v="0"/>
    <x v="34"/>
    <n v="0"/>
  </r>
  <r>
    <n v="1"/>
    <s v="해지"/>
    <d v="2020-01-01T00:00:00"/>
    <d v="2024-09-30T00:00:00"/>
    <x v="0"/>
    <s v="100-200"/>
    <x v="0"/>
    <x v="0"/>
    <x v="35"/>
    <n v="0"/>
  </r>
  <r>
    <n v="1"/>
    <s v="해지"/>
    <d v="2020-01-01T00:00:00"/>
    <d v="2024-09-30T00:00:00"/>
    <x v="0"/>
    <s v="100-200"/>
    <x v="0"/>
    <x v="0"/>
    <x v="36"/>
    <n v="0"/>
  </r>
  <r>
    <n v="1"/>
    <s v="해지"/>
    <d v="2020-01-01T00:00:00"/>
    <d v="2024-09-30T00:00:00"/>
    <x v="0"/>
    <s v="100-200"/>
    <x v="0"/>
    <x v="0"/>
    <x v="37"/>
    <n v="0"/>
  </r>
  <r>
    <n v="1"/>
    <s v="해지"/>
    <d v="2020-01-01T00:00:00"/>
    <d v="2024-09-30T00:00:00"/>
    <x v="0"/>
    <s v="100-200"/>
    <x v="0"/>
    <x v="0"/>
    <x v="38"/>
    <n v="0"/>
  </r>
  <r>
    <n v="1"/>
    <s v="해지"/>
    <d v="2020-01-01T00:00:00"/>
    <d v="2024-09-30T00:00:00"/>
    <x v="0"/>
    <s v="100-200"/>
    <x v="0"/>
    <x v="0"/>
    <x v="39"/>
    <n v="0"/>
  </r>
  <r>
    <n v="1"/>
    <s v="해지"/>
    <d v="2020-01-01T00:00:00"/>
    <d v="2024-09-30T00:00:00"/>
    <x v="0"/>
    <s v="100-200"/>
    <x v="0"/>
    <x v="0"/>
    <x v="40"/>
    <n v="0"/>
  </r>
  <r>
    <n v="1"/>
    <s v="해지"/>
    <d v="2020-01-01T00:00:00"/>
    <d v="2024-09-30T00:00:00"/>
    <x v="0"/>
    <s v="100-200"/>
    <x v="0"/>
    <x v="0"/>
    <x v="41"/>
    <n v="0"/>
  </r>
  <r>
    <n v="1"/>
    <s v="해지"/>
    <d v="2020-01-01T00:00:00"/>
    <d v="2024-09-30T00:00:00"/>
    <x v="0"/>
    <s v="100-200"/>
    <x v="0"/>
    <x v="0"/>
    <x v="42"/>
    <n v="0"/>
  </r>
  <r>
    <n v="1"/>
    <s v="해지"/>
    <d v="2020-01-01T00:00:00"/>
    <d v="2024-09-30T00:00:00"/>
    <x v="0"/>
    <s v="100-200"/>
    <x v="0"/>
    <x v="0"/>
    <x v="43"/>
    <n v="0"/>
  </r>
  <r>
    <n v="1"/>
    <s v="해지"/>
    <d v="2020-01-01T00:00:00"/>
    <d v="2024-09-30T00:00:00"/>
    <x v="0"/>
    <s v="100-200"/>
    <x v="0"/>
    <x v="0"/>
    <x v="44"/>
    <n v="0"/>
  </r>
  <r>
    <n v="1"/>
    <s v="해지"/>
    <d v="2020-01-01T00:00:00"/>
    <d v="2024-09-30T00:00:00"/>
    <x v="0"/>
    <s v="100-200"/>
    <x v="0"/>
    <x v="0"/>
    <x v="45"/>
    <n v="0"/>
  </r>
  <r>
    <n v="1"/>
    <s v="해지"/>
    <d v="2020-01-01T00:00:00"/>
    <d v="2024-09-30T00:00:00"/>
    <x v="0"/>
    <s v="100-200"/>
    <x v="0"/>
    <x v="0"/>
    <x v="46"/>
    <n v="0"/>
  </r>
  <r>
    <n v="1"/>
    <s v="해지"/>
    <d v="2020-01-01T00:00:00"/>
    <d v="2024-09-30T00:00:00"/>
    <x v="0"/>
    <s v="100-200"/>
    <x v="0"/>
    <x v="0"/>
    <x v="47"/>
    <n v="0"/>
  </r>
  <r>
    <n v="1"/>
    <s v="해지"/>
    <d v="2020-01-01T00:00:00"/>
    <d v="2024-09-30T00:00:00"/>
    <x v="0"/>
    <s v="100-200"/>
    <x v="0"/>
    <x v="0"/>
    <x v="48"/>
    <n v="0"/>
  </r>
  <r>
    <n v="1"/>
    <s v="해지"/>
    <d v="2020-01-01T00:00:00"/>
    <d v="2024-09-30T00:00:00"/>
    <x v="0"/>
    <s v="100-200"/>
    <x v="0"/>
    <x v="0"/>
    <x v="49"/>
    <n v="0"/>
  </r>
  <r>
    <n v="1"/>
    <s v="해지"/>
    <d v="2020-01-01T00:00:00"/>
    <d v="2024-09-30T00:00:00"/>
    <x v="0"/>
    <s v="100-200"/>
    <x v="0"/>
    <x v="0"/>
    <x v="50"/>
    <n v="0"/>
  </r>
  <r>
    <n v="1"/>
    <s v="해지"/>
    <d v="2020-01-01T00:00:00"/>
    <d v="2024-09-30T00:00:00"/>
    <x v="0"/>
    <s v="100-200"/>
    <x v="0"/>
    <x v="0"/>
    <x v="51"/>
    <n v="0"/>
  </r>
  <r>
    <n v="1"/>
    <s v="해지"/>
    <d v="2020-01-01T00:00:00"/>
    <d v="2024-09-30T00:00:00"/>
    <x v="0"/>
    <s v="100-200"/>
    <x v="0"/>
    <x v="0"/>
    <x v="52"/>
    <n v="0"/>
  </r>
  <r>
    <n v="1"/>
    <s v="해지"/>
    <d v="2020-01-01T00:00:00"/>
    <d v="2024-09-30T00:00:00"/>
    <x v="0"/>
    <s v="100-200"/>
    <x v="0"/>
    <x v="0"/>
    <x v="53"/>
    <n v="0"/>
  </r>
  <r>
    <n v="1"/>
    <s v="해지"/>
    <d v="2020-01-01T00:00:00"/>
    <d v="2024-09-30T00:00:00"/>
    <x v="0"/>
    <s v="100-200"/>
    <x v="0"/>
    <x v="0"/>
    <x v="54"/>
    <n v="0"/>
  </r>
  <r>
    <n v="1"/>
    <s v="해지"/>
    <d v="2020-01-01T00:00:00"/>
    <d v="2024-09-30T00:00:00"/>
    <x v="0"/>
    <s v="100-200"/>
    <x v="0"/>
    <x v="0"/>
    <x v="55"/>
    <n v="1"/>
  </r>
  <r>
    <n v="2"/>
    <s v="유지"/>
    <d v="2021-05-02T00:00:00"/>
    <d v="2026-03-31T00:00:00"/>
    <x v="1"/>
    <s v="200-300"/>
    <x v="1"/>
    <x v="1"/>
    <x v="0"/>
    <n v="0"/>
  </r>
  <r>
    <n v="2"/>
    <s v="유지"/>
    <d v="2021-05-02T00:00:00"/>
    <d v="2026-03-31T00:00:00"/>
    <x v="1"/>
    <s v="200-300"/>
    <x v="1"/>
    <x v="1"/>
    <x v="1"/>
    <n v="0"/>
  </r>
  <r>
    <n v="2"/>
    <s v="유지"/>
    <d v="2021-05-02T00:00:00"/>
    <d v="2026-03-31T00:00:00"/>
    <x v="1"/>
    <s v="200-300"/>
    <x v="1"/>
    <x v="1"/>
    <x v="2"/>
    <n v="0"/>
  </r>
  <r>
    <n v="2"/>
    <s v="유지"/>
    <d v="2021-05-02T00:00:00"/>
    <d v="2026-03-31T00:00:00"/>
    <x v="1"/>
    <s v="200-300"/>
    <x v="1"/>
    <x v="1"/>
    <x v="3"/>
    <n v="0"/>
  </r>
  <r>
    <n v="2"/>
    <s v="유지"/>
    <d v="2021-05-02T00:00:00"/>
    <d v="2026-03-31T00:00:00"/>
    <x v="1"/>
    <s v="200-300"/>
    <x v="1"/>
    <x v="1"/>
    <x v="4"/>
    <n v="0"/>
  </r>
  <r>
    <n v="2"/>
    <s v="유지"/>
    <d v="2021-05-02T00:00:00"/>
    <d v="2026-03-31T00:00:00"/>
    <x v="1"/>
    <s v="200-300"/>
    <x v="1"/>
    <x v="1"/>
    <x v="5"/>
    <n v="0"/>
  </r>
  <r>
    <n v="2"/>
    <s v="유지"/>
    <d v="2021-05-02T00:00:00"/>
    <d v="2026-03-31T00:00:00"/>
    <x v="1"/>
    <s v="200-300"/>
    <x v="1"/>
    <x v="1"/>
    <x v="6"/>
    <n v="0"/>
  </r>
  <r>
    <n v="2"/>
    <s v="유지"/>
    <d v="2021-05-02T00:00:00"/>
    <d v="2026-03-31T00:00:00"/>
    <x v="1"/>
    <s v="200-300"/>
    <x v="1"/>
    <x v="1"/>
    <x v="7"/>
    <n v="0"/>
  </r>
  <r>
    <n v="2"/>
    <s v="유지"/>
    <d v="2021-05-02T00:00:00"/>
    <d v="2026-03-31T00:00:00"/>
    <x v="1"/>
    <s v="200-300"/>
    <x v="1"/>
    <x v="1"/>
    <x v="8"/>
    <n v="0"/>
  </r>
  <r>
    <n v="2"/>
    <s v="유지"/>
    <d v="2021-05-02T00:00:00"/>
    <d v="2026-03-31T00:00:00"/>
    <x v="1"/>
    <s v="200-300"/>
    <x v="1"/>
    <x v="1"/>
    <x v="9"/>
    <n v="0"/>
  </r>
  <r>
    <n v="2"/>
    <s v="유지"/>
    <d v="2021-05-02T00:00:00"/>
    <d v="2026-03-31T00:00:00"/>
    <x v="1"/>
    <s v="200-300"/>
    <x v="1"/>
    <x v="1"/>
    <x v="10"/>
    <n v="0"/>
  </r>
  <r>
    <n v="2"/>
    <s v="유지"/>
    <d v="2021-05-02T00:00:00"/>
    <d v="2026-03-31T00:00:00"/>
    <x v="1"/>
    <s v="200-300"/>
    <x v="1"/>
    <x v="1"/>
    <x v="11"/>
    <n v="0"/>
  </r>
  <r>
    <n v="2"/>
    <s v="유지"/>
    <d v="2021-05-02T00:00:00"/>
    <d v="2026-03-31T00:00:00"/>
    <x v="1"/>
    <s v="200-300"/>
    <x v="1"/>
    <x v="1"/>
    <x v="12"/>
    <n v="0"/>
  </r>
  <r>
    <n v="2"/>
    <s v="유지"/>
    <d v="2021-05-02T00:00:00"/>
    <d v="2026-03-31T00:00:00"/>
    <x v="1"/>
    <s v="200-300"/>
    <x v="1"/>
    <x v="1"/>
    <x v="13"/>
    <n v="0"/>
  </r>
  <r>
    <n v="2"/>
    <s v="유지"/>
    <d v="2021-05-02T00:00:00"/>
    <d v="2026-03-31T00:00:00"/>
    <x v="1"/>
    <s v="200-300"/>
    <x v="1"/>
    <x v="1"/>
    <x v="14"/>
    <n v="0"/>
  </r>
  <r>
    <n v="2"/>
    <s v="유지"/>
    <d v="2021-05-02T00:00:00"/>
    <d v="2026-03-31T00:00:00"/>
    <x v="1"/>
    <s v="200-300"/>
    <x v="1"/>
    <x v="1"/>
    <x v="15"/>
    <n v="0"/>
  </r>
  <r>
    <n v="2"/>
    <s v="유지"/>
    <d v="2021-05-02T00:00:00"/>
    <d v="2026-03-31T00:00:00"/>
    <x v="1"/>
    <s v="200-300"/>
    <x v="1"/>
    <x v="1"/>
    <x v="16"/>
    <n v="0"/>
  </r>
  <r>
    <n v="2"/>
    <s v="유지"/>
    <d v="2021-05-02T00:00:00"/>
    <d v="2026-03-31T00:00:00"/>
    <x v="1"/>
    <s v="200-300"/>
    <x v="1"/>
    <x v="1"/>
    <x v="17"/>
    <n v="0"/>
  </r>
  <r>
    <n v="2"/>
    <s v="유지"/>
    <d v="2021-05-02T00:00:00"/>
    <d v="2026-03-31T00:00:00"/>
    <x v="1"/>
    <s v="200-300"/>
    <x v="1"/>
    <x v="1"/>
    <x v="18"/>
    <n v="0"/>
  </r>
  <r>
    <n v="2"/>
    <s v="유지"/>
    <d v="2021-05-02T00:00:00"/>
    <d v="2026-03-31T00:00:00"/>
    <x v="1"/>
    <s v="200-300"/>
    <x v="1"/>
    <x v="1"/>
    <x v="19"/>
    <n v="0"/>
  </r>
  <r>
    <n v="2"/>
    <s v="유지"/>
    <d v="2021-05-02T00:00:00"/>
    <d v="2026-03-31T00:00:00"/>
    <x v="1"/>
    <s v="200-300"/>
    <x v="1"/>
    <x v="1"/>
    <x v="20"/>
    <n v="0"/>
  </r>
  <r>
    <n v="2"/>
    <s v="유지"/>
    <d v="2021-05-02T00:00:00"/>
    <d v="2026-03-31T00:00:00"/>
    <x v="1"/>
    <s v="200-300"/>
    <x v="1"/>
    <x v="1"/>
    <x v="21"/>
    <n v="0"/>
  </r>
  <r>
    <n v="2"/>
    <s v="유지"/>
    <d v="2021-05-02T00:00:00"/>
    <d v="2026-03-31T00:00:00"/>
    <x v="1"/>
    <s v="200-300"/>
    <x v="1"/>
    <x v="1"/>
    <x v="22"/>
    <n v="0"/>
  </r>
  <r>
    <n v="2"/>
    <s v="유지"/>
    <d v="2021-05-02T00:00:00"/>
    <d v="2026-03-31T00:00:00"/>
    <x v="1"/>
    <s v="200-300"/>
    <x v="1"/>
    <x v="1"/>
    <x v="23"/>
    <n v="0"/>
  </r>
  <r>
    <n v="2"/>
    <s v="유지"/>
    <d v="2021-05-02T00:00:00"/>
    <d v="2026-03-31T00:00:00"/>
    <x v="1"/>
    <s v="200-300"/>
    <x v="1"/>
    <x v="1"/>
    <x v="24"/>
    <n v="0"/>
  </r>
  <r>
    <n v="2"/>
    <s v="유지"/>
    <d v="2021-05-02T00:00:00"/>
    <d v="2026-03-31T00:00:00"/>
    <x v="1"/>
    <s v="200-300"/>
    <x v="1"/>
    <x v="1"/>
    <x v="25"/>
    <n v="0"/>
  </r>
  <r>
    <n v="2"/>
    <s v="유지"/>
    <d v="2021-05-02T00:00:00"/>
    <d v="2026-03-31T00:00:00"/>
    <x v="1"/>
    <s v="200-300"/>
    <x v="1"/>
    <x v="1"/>
    <x v="26"/>
    <n v="0"/>
  </r>
  <r>
    <n v="2"/>
    <s v="유지"/>
    <d v="2021-05-02T00:00:00"/>
    <d v="2026-03-31T00:00:00"/>
    <x v="1"/>
    <s v="200-300"/>
    <x v="1"/>
    <x v="1"/>
    <x v="27"/>
    <n v="0"/>
  </r>
  <r>
    <n v="2"/>
    <s v="유지"/>
    <d v="2021-05-02T00:00:00"/>
    <d v="2026-03-31T00:00:00"/>
    <x v="1"/>
    <s v="200-300"/>
    <x v="1"/>
    <x v="1"/>
    <x v="28"/>
    <n v="0"/>
  </r>
  <r>
    <n v="2"/>
    <s v="유지"/>
    <d v="2021-05-02T00:00:00"/>
    <d v="2026-03-31T00:00:00"/>
    <x v="1"/>
    <s v="200-300"/>
    <x v="1"/>
    <x v="1"/>
    <x v="29"/>
    <n v="0"/>
  </r>
  <r>
    <n v="2"/>
    <s v="유지"/>
    <d v="2021-05-02T00:00:00"/>
    <d v="2026-03-31T00:00:00"/>
    <x v="1"/>
    <s v="200-300"/>
    <x v="1"/>
    <x v="1"/>
    <x v="30"/>
    <n v="0"/>
  </r>
  <r>
    <n v="2"/>
    <s v="유지"/>
    <d v="2021-05-02T00:00:00"/>
    <d v="2026-03-31T00:00:00"/>
    <x v="1"/>
    <s v="200-300"/>
    <x v="1"/>
    <x v="1"/>
    <x v="31"/>
    <n v="0"/>
  </r>
  <r>
    <n v="2"/>
    <s v="유지"/>
    <d v="2021-05-02T00:00:00"/>
    <d v="2026-03-31T00:00:00"/>
    <x v="1"/>
    <s v="200-300"/>
    <x v="1"/>
    <x v="1"/>
    <x v="32"/>
    <n v="0"/>
  </r>
  <r>
    <n v="2"/>
    <s v="유지"/>
    <d v="2021-05-02T00:00:00"/>
    <d v="2026-03-31T00:00:00"/>
    <x v="1"/>
    <s v="200-300"/>
    <x v="1"/>
    <x v="1"/>
    <x v="33"/>
    <n v="0"/>
  </r>
  <r>
    <n v="2"/>
    <s v="유지"/>
    <d v="2021-05-02T00:00:00"/>
    <d v="2026-03-31T00:00:00"/>
    <x v="1"/>
    <s v="200-300"/>
    <x v="1"/>
    <x v="1"/>
    <x v="34"/>
    <n v="0"/>
  </r>
  <r>
    <n v="2"/>
    <s v="유지"/>
    <d v="2021-05-02T00:00:00"/>
    <d v="2026-03-31T00:00:00"/>
    <x v="1"/>
    <s v="200-300"/>
    <x v="1"/>
    <x v="1"/>
    <x v="35"/>
    <n v="0"/>
  </r>
  <r>
    <n v="2"/>
    <s v="유지"/>
    <d v="2021-05-02T00:00:00"/>
    <d v="2026-03-31T00:00:00"/>
    <x v="1"/>
    <s v="200-300"/>
    <x v="1"/>
    <x v="1"/>
    <x v="36"/>
    <n v="0"/>
  </r>
  <r>
    <n v="2"/>
    <s v="유지"/>
    <d v="2021-05-02T00:00:00"/>
    <d v="2026-03-31T00:00:00"/>
    <x v="1"/>
    <s v="200-300"/>
    <x v="1"/>
    <x v="1"/>
    <x v="37"/>
    <n v="0"/>
  </r>
  <r>
    <n v="2"/>
    <s v="유지"/>
    <d v="2021-05-02T00:00:00"/>
    <d v="2026-03-31T00:00:00"/>
    <x v="1"/>
    <s v="200-300"/>
    <x v="1"/>
    <x v="1"/>
    <x v="38"/>
    <n v="0"/>
  </r>
  <r>
    <n v="2"/>
    <s v="유지"/>
    <d v="2021-05-02T00:00:00"/>
    <d v="2026-03-31T00:00:00"/>
    <x v="1"/>
    <s v="200-300"/>
    <x v="1"/>
    <x v="1"/>
    <x v="39"/>
    <n v="0"/>
  </r>
  <r>
    <n v="2"/>
    <s v="유지"/>
    <d v="2021-05-02T00:00:00"/>
    <d v="2026-03-31T00:00:00"/>
    <x v="1"/>
    <s v="200-300"/>
    <x v="1"/>
    <x v="1"/>
    <x v="40"/>
    <n v="0"/>
  </r>
  <r>
    <n v="2"/>
    <s v="유지"/>
    <d v="2021-05-02T00:00:00"/>
    <d v="2026-03-31T00:00:00"/>
    <x v="1"/>
    <s v="200-300"/>
    <x v="1"/>
    <x v="1"/>
    <x v="41"/>
    <n v="0"/>
  </r>
  <r>
    <n v="2"/>
    <s v="유지"/>
    <d v="2021-05-02T00:00:00"/>
    <d v="2026-03-31T00:00:00"/>
    <x v="1"/>
    <s v="200-300"/>
    <x v="1"/>
    <x v="1"/>
    <x v="42"/>
    <n v="0"/>
  </r>
  <r>
    <n v="2"/>
    <s v="유지"/>
    <d v="2021-05-02T00:00:00"/>
    <d v="2026-03-31T00:00:00"/>
    <x v="1"/>
    <s v="200-300"/>
    <x v="1"/>
    <x v="1"/>
    <x v="43"/>
    <n v="0"/>
  </r>
  <r>
    <n v="2"/>
    <s v="유지"/>
    <d v="2021-05-02T00:00:00"/>
    <d v="2026-03-31T00:00:00"/>
    <x v="1"/>
    <s v="200-300"/>
    <x v="1"/>
    <x v="1"/>
    <x v="44"/>
    <n v="0"/>
  </r>
  <r>
    <n v="2"/>
    <s v="유지"/>
    <d v="2021-05-02T00:00:00"/>
    <d v="2026-03-31T00:00:00"/>
    <x v="1"/>
    <s v="200-300"/>
    <x v="1"/>
    <x v="1"/>
    <x v="45"/>
    <n v="0"/>
  </r>
  <r>
    <n v="2"/>
    <s v="유지"/>
    <d v="2021-05-02T00:00:00"/>
    <d v="2026-03-31T00:00:00"/>
    <x v="1"/>
    <s v="200-300"/>
    <x v="1"/>
    <x v="1"/>
    <x v="46"/>
    <n v="0"/>
  </r>
  <r>
    <n v="2"/>
    <s v="유지"/>
    <d v="2021-05-02T00:00:00"/>
    <d v="2026-03-31T00:00:00"/>
    <x v="1"/>
    <s v="200-300"/>
    <x v="1"/>
    <x v="1"/>
    <x v="47"/>
    <n v="0"/>
  </r>
  <r>
    <n v="2"/>
    <s v="유지"/>
    <d v="2021-05-02T00:00:00"/>
    <d v="2026-03-31T00:00:00"/>
    <x v="1"/>
    <s v="200-300"/>
    <x v="1"/>
    <x v="1"/>
    <x v="48"/>
    <n v="0"/>
  </r>
  <r>
    <n v="2"/>
    <s v="유지"/>
    <d v="2021-05-02T00:00:00"/>
    <d v="2026-03-31T00:00:00"/>
    <x v="1"/>
    <s v="200-300"/>
    <x v="1"/>
    <x v="1"/>
    <x v="49"/>
    <n v="0"/>
  </r>
  <r>
    <n v="2"/>
    <s v="유지"/>
    <d v="2021-05-02T00:00:00"/>
    <d v="2026-03-31T00:00:00"/>
    <x v="1"/>
    <s v="200-300"/>
    <x v="1"/>
    <x v="1"/>
    <x v="50"/>
    <n v="0"/>
  </r>
  <r>
    <n v="2"/>
    <s v="유지"/>
    <d v="2021-05-02T00:00:00"/>
    <d v="2026-03-31T00:00:00"/>
    <x v="1"/>
    <s v="200-300"/>
    <x v="1"/>
    <x v="1"/>
    <x v="51"/>
    <n v="0"/>
  </r>
  <r>
    <n v="2"/>
    <s v="유지"/>
    <d v="2021-05-02T00:00:00"/>
    <d v="2026-03-31T00:00:00"/>
    <x v="1"/>
    <s v="200-300"/>
    <x v="1"/>
    <x v="1"/>
    <x v="52"/>
    <n v="0"/>
  </r>
  <r>
    <n v="2"/>
    <s v="유지"/>
    <d v="2021-05-02T00:00:00"/>
    <d v="2026-03-31T00:00:00"/>
    <x v="1"/>
    <s v="200-300"/>
    <x v="1"/>
    <x v="1"/>
    <x v="53"/>
    <n v="0"/>
  </r>
  <r>
    <n v="2"/>
    <s v="유지"/>
    <d v="2021-05-02T00:00:00"/>
    <d v="2026-03-31T00:00:00"/>
    <x v="1"/>
    <s v="200-300"/>
    <x v="1"/>
    <x v="1"/>
    <x v="54"/>
    <n v="0"/>
  </r>
  <r>
    <n v="2"/>
    <s v="유지"/>
    <d v="2021-05-02T00:00:00"/>
    <d v="2026-03-31T00:00:00"/>
    <x v="1"/>
    <s v="200-300"/>
    <x v="1"/>
    <x v="1"/>
    <x v="55"/>
    <n v="0"/>
  </r>
  <r>
    <n v="2"/>
    <s v="유지"/>
    <d v="2021-05-02T00:00:00"/>
    <d v="2026-03-31T00:00:00"/>
    <x v="1"/>
    <s v="200-300"/>
    <x v="1"/>
    <x v="1"/>
    <x v="56"/>
    <n v="0"/>
  </r>
  <r>
    <n v="2"/>
    <s v="유지"/>
    <d v="2021-05-02T00:00:00"/>
    <d v="2026-03-31T00:00:00"/>
    <x v="1"/>
    <s v="200-300"/>
    <x v="1"/>
    <x v="1"/>
    <x v="57"/>
    <n v="0"/>
  </r>
  <r>
    <n v="2"/>
    <s v="유지"/>
    <d v="2021-05-02T00:00:00"/>
    <d v="2026-03-31T00:00:00"/>
    <x v="1"/>
    <s v="200-300"/>
    <x v="1"/>
    <x v="1"/>
    <x v="58"/>
    <n v="0"/>
  </r>
  <r>
    <n v="3"/>
    <s v="해지"/>
    <d v="2023-02-04T00:00:00"/>
    <d v="2025-12-28T00:00:00"/>
    <x v="2"/>
    <s v="100-200"/>
    <x v="0"/>
    <x v="2"/>
    <x v="0"/>
    <n v="0"/>
  </r>
  <r>
    <n v="3"/>
    <s v="해지"/>
    <d v="2023-02-04T00:00:00"/>
    <d v="2025-12-28T00:00:00"/>
    <x v="2"/>
    <s v="100-200"/>
    <x v="0"/>
    <x v="2"/>
    <x v="1"/>
    <n v="0"/>
  </r>
  <r>
    <n v="3"/>
    <s v="해지"/>
    <d v="2023-02-04T00:00:00"/>
    <d v="2025-12-28T00:00:00"/>
    <x v="2"/>
    <s v="100-200"/>
    <x v="0"/>
    <x v="2"/>
    <x v="2"/>
    <n v="0"/>
  </r>
  <r>
    <n v="3"/>
    <s v="해지"/>
    <d v="2023-02-04T00:00:00"/>
    <d v="2025-12-28T00:00:00"/>
    <x v="2"/>
    <s v="100-200"/>
    <x v="0"/>
    <x v="2"/>
    <x v="3"/>
    <n v="0"/>
  </r>
  <r>
    <n v="3"/>
    <s v="해지"/>
    <d v="2023-02-04T00:00:00"/>
    <d v="2025-12-28T00:00:00"/>
    <x v="2"/>
    <s v="100-200"/>
    <x v="0"/>
    <x v="2"/>
    <x v="4"/>
    <n v="0"/>
  </r>
  <r>
    <n v="3"/>
    <s v="해지"/>
    <d v="2023-02-04T00:00:00"/>
    <d v="2025-12-28T00:00:00"/>
    <x v="2"/>
    <s v="100-200"/>
    <x v="0"/>
    <x v="2"/>
    <x v="5"/>
    <n v="0"/>
  </r>
  <r>
    <n v="3"/>
    <s v="해지"/>
    <d v="2023-02-04T00:00:00"/>
    <d v="2025-12-28T00:00:00"/>
    <x v="2"/>
    <s v="100-200"/>
    <x v="0"/>
    <x v="2"/>
    <x v="6"/>
    <n v="0"/>
  </r>
  <r>
    <n v="3"/>
    <s v="해지"/>
    <d v="2023-02-04T00:00:00"/>
    <d v="2025-12-28T00:00:00"/>
    <x v="2"/>
    <s v="100-200"/>
    <x v="0"/>
    <x v="2"/>
    <x v="7"/>
    <n v="0"/>
  </r>
  <r>
    <n v="3"/>
    <s v="해지"/>
    <d v="2023-02-04T00:00:00"/>
    <d v="2025-12-28T00:00:00"/>
    <x v="2"/>
    <s v="100-200"/>
    <x v="0"/>
    <x v="2"/>
    <x v="8"/>
    <n v="0"/>
  </r>
  <r>
    <n v="3"/>
    <s v="해지"/>
    <d v="2023-02-04T00:00:00"/>
    <d v="2025-12-28T00:00:00"/>
    <x v="2"/>
    <s v="100-200"/>
    <x v="0"/>
    <x v="2"/>
    <x v="9"/>
    <n v="0"/>
  </r>
  <r>
    <n v="3"/>
    <s v="해지"/>
    <d v="2023-02-04T00:00:00"/>
    <d v="2025-12-28T00:00:00"/>
    <x v="2"/>
    <s v="100-200"/>
    <x v="0"/>
    <x v="2"/>
    <x v="10"/>
    <n v="0"/>
  </r>
  <r>
    <n v="3"/>
    <s v="해지"/>
    <d v="2023-02-04T00:00:00"/>
    <d v="2025-12-28T00:00:00"/>
    <x v="2"/>
    <s v="100-200"/>
    <x v="0"/>
    <x v="2"/>
    <x v="11"/>
    <n v="0"/>
  </r>
  <r>
    <n v="3"/>
    <s v="해지"/>
    <d v="2023-02-04T00:00:00"/>
    <d v="2025-12-28T00:00:00"/>
    <x v="2"/>
    <s v="100-200"/>
    <x v="0"/>
    <x v="2"/>
    <x v="12"/>
    <n v="0"/>
  </r>
  <r>
    <n v="3"/>
    <s v="해지"/>
    <d v="2023-02-04T00:00:00"/>
    <d v="2025-12-28T00:00:00"/>
    <x v="2"/>
    <s v="100-200"/>
    <x v="0"/>
    <x v="2"/>
    <x v="13"/>
    <n v="0"/>
  </r>
  <r>
    <n v="3"/>
    <s v="해지"/>
    <d v="2023-02-04T00:00:00"/>
    <d v="2025-12-28T00:00:00"/>
    <x v="2"/>
    <s v="100-200"/>
    <x v="0"/>
    <x v="2"/>
    <x v="14"/>
    <n v="0"/>
  </r>
  <r>
    <n v="3"/>
    <s v="해지"/>
    <d v="2023-02-04T00:00:00"/>
    <d v="2025-12-28T00:00:00"/>
    <x v="2"/>
    <s v="100-200"/>
    <x v="0"/>
    <x v="2"/>
    <x v="15"/>
    <n v="0"/>
  </r>
  <r>
    <n v="3"/>
    <s v="해지"/>
    <d v="2023-02-04T00:00:00"/>
    <d v="2025-12-28T00:00:00"/>
    <x v="2"/>
    <s v="100-200"/>
    <x v="0"/>
    <x v="2"/>
    <x v="16"/>
    <n v="0"/>
  </r>
  <r>
    <n v="3"/>
    <s v="해지"/>
    <d v="2023-02-04T00:00:00"/>
    <d v="2025-12-28T00:00:00"/>
    <x v="2"/>
    <s v="100-200"/>
    <x v="0"/>
    <x v="2"/>
    <x v="17"/>
    <n v="0"/>
  </r>
  <r>
    <n v="3"/>
    <s v="해지"/>
    <d v="2023-02-04T00:00:00"/>
    <d v="2025-12-28T00:00:00"/>
    <x v="2"/>
    <s v="100-200"/>
    <x v="0"/>
    <x v="2"/>
    <x v="18"/>
    <n v="0"/>
  </r>
  <r>
    <n v="3"/>
    <s v="해지"/>
    <d v="2023-02-04T00:00:00"/>
    <d v="2025-12-28T00:00:00"/>
    <x v="2"/>
    <s v="100-200"/>
    <x v="0"/>
    <x v="2"/>
    <x v="19"/>
    <n v="0"/>
  </r>
  <r>
    <n v="3"/>
    <s v="해지"/>
    <d v="2023-02-04T00:00:00"/>
    <d v="2025-12-28T00:00:00"/>
    <x v="2"/>
    <s v="100-200"/>
    <x v="0"/>
    <x v="2"/>
    <x v="20"/>
    <n v="0"/>
  </r>
  <r>
    <n v="3"/>
    <s v="해지"/>
    <d v="2023-02-04T00:00:00"/>
    <d v="2025-12-28T00:00:00"/>
    <x v="2"/>
    <s v="100-200"/>
    <x v="0"/>
    <x v="2"/>
    <x v="21"/>
    <n v="0"/>
  </r>
  <r>
    <n v="3"/>
    <s v="해지"/>
    <d v="2023-02-04T00:00:00"/>
    <d v="2025-12-28T00:00:00"/>
    <x v="2"/>
    <s v="100-200"/>
    <x v="0"/>
    <x v="2"/>
    <x v="22"/>
    <n v="0"/>
  </r>
  <r>
    <n v="3"/>
    <s v="해지"/>
    <d v="2023-02-04T00:00:00"/>
    <d v="2025-12-28T00:00:00"/>
    <x v="2"/>
    <s v="100-200"/>
    <x v="0"/>
    <x v="2"/>
    <x v="23"/>
    <n v="0"/>
  </r>
  <r>
    <n v="3"/>
    <s v="해지"/>
    <d v="2023-02-04T00:00:00"/>
    <d v="2025-12-28T00:00:00"/>
    <x v="2"/>
    <s v="100-200"/>
    <x v="0"/>
    <x v="2"/>
    <x v="24"/>
    <n v="0"/>
  </r>
  <r>
    <n v="3"/>
    <s v="해지"/>
    <d v="2023-02-04T00:00:00"/>
    <d v="2025-12-28T00:00:00"/>
    <x v="2"/>
    <s v="100-200"/>
    <x v="0"/>
    <x v="2"/>
    <x v="25"/>
    <n v="0"/>
  </r>
  <r>
    <n v="3"/>
    <s v="해지"/>
    <d v="2023-02-04T00:00:00"/>
    <d v="2025-12-28T00:00:00"/>
    <x v="2"/>
    <s v="100-200"/>
    <x v="0"/>
    <x v="2"/>
    <x v="26"/>
    <n v="0"/>
  </r>
  <r>
    <n v="3"/>
    <s v="해지"/>
    <d v="2023-02-04T00:00:00"/>
    <d v="2025-12-28T00:00:00"/>
    <x v="2"/>
    <s v="100-200"/>
    <x v="0"/>
    <x v="2"/>
    <x v="27"/>
    <n v="0"/>
  </r>
  <r>
    <n v="3"/>
    <s v="해지"/>
    <d v="2023-02-04T00:00:00"/>
    <d v="2025-12-28T00:00:00"/>
    <x v="2"/>
    <s v="100-200"/>
    <x v="0"/>
    <x v="2"/>
    <x v="28"/>
    <n v="0"/>
  </r>
  <r>
    <n v="3"/>
    <s v="해지"/>
    <d v="2023-02-04T00:00:00"/>
    <d v="2025-12-28T00:00:00"/>
    <x v="2"/>
    <s v="100-200"/>
    <x v="0"/>
    <x v="2"/>
    <x v="29"/>
    <n v="0"/>
  </r>
  <r>
    <n v="3"/>
    <s v="해지"/>
    <d v="2023-02-04T00:00:00"/>
    <d v="2025-12-28T00:00:00"/>
    <x v="2"/>
    <s v="100-200"/>
    <x v="0"/>
    <x v="2"/>
    <x v="30"/>
    <n v="0"/>
  </r>
  <r>
    <n v="3"/>
    <s v="해지"/>
    <d v="2023-02-04T00:00:00"/>
    <d v="2025-12-28T00:00:00"/>
    <x v="2"/>
    <s v="100-200"/>
    <x v="0"/>
    <x v="2"/>
    <x v="31"/>
    <n v="0"/>
  </r>
  <r>
    <n v="3"/>
    <s v="해지"/>
    <d v="2023-02-04T00:00:00"/>
    <d v="2025-12-28T00:00:00"/>
    <x v="2"/>
    <s v="100-200"/>
    <x v="0"/>
    <x v="2"/>
    <x v="32"/>
    <n v="0"/>
  </r>
  <r>
    <n v="3"/>
    <s v="해지"/>
    <d v="2023-02-04T00:00:00"/>
    <d v="2025-12-28T00:00:00"/>
    <x v="2"/>
    <s v="100-200"/>
    <x v="0"/>
    <x v="2"/>
    <x v="33"/>
    <n v="0"/>
  </r>
  <r>
    <n v="3"/>
    <s v="해지"/>
    <d v="2023-02-04T00:00:00"/>
    <d v="2025-12-28T00:00:00"/>
    <x v="2"/>
    <s v="100-200"/>
    <x v="0"/>
    <x v="2"/>
    <x v="34"/>
    <n v="1"/>
  </r>
  <r>
    <n v="4"/>
    <s v="만기"/>
    <d v="2020-05-01T00:00:00"/>
    <d v="2024-03-15T00:00:00"/>
    <x v="3"/>
    <s v="400-500"/>
    <x v="0"/>
    <x v="3"/>
    <x v="0"/>
    <n v="0"/>
  </r>
  <r>
    <n v="4"/>
    <s v="만기"/>
    <d v="2020-05-01T00:00:00"/>
    <d v="2024-03-15T00:00:00"/>
    <x v="3"/>
    <s v="400-500"/>
    <x v="0"/>
    <x v="3"/>
    <x v="1"/>
    <n v="0"/>
  </r>
  <r>
    <n v="4"/>
    <s v="만기"/>
    <d v="2020-05-01T00:00:00"/>
    <d v="2024-03-15T00:00:00"/>
    <x v="3"/>
    <s v="400-500"/>
    <x v="0"/>
    <x v="3"/>
    <x v="2"/>
    <n v="0"/>
  </r>
  <r>
    <n v="4"/>
    <s v="만기"/>
    <d v="2020-05-01T00:00:00"/>
    <d v="2024-03-15T00:00:00"/>
    <x v="3"/>
    <s v="400-500"/>
    <x v="0"/>
    <x v="3"/>
    <x v="3"/>
    <n v="0"/>
  </r>
  <r>
    <n v="4"/>
    <s v="만기"/>
    <d v="2020-05-01T00:00:00"/>
    <d v="2024-03-15T00:00:00"/>
    <x v="3"/>
    <s v="400-500"/>
    <x v="0"/>
    <x v="3"/>
    <x v="4"/>
    <n v="0"/>
  </r>
  <r>
    <n v="4"/>
    <s v="만기"/>
    <d v="2020-05-01T00:00:00"/>
    <d v="2024-03-15T00:00:00"/>
    <x v="3"/>
    <s v="400-500"/>
    <x v="0"/>
    <x v="3"/>
    <x v="5"/>
    <n v="0"/>
  </r>
  <r>
    <n v="4"/>
    <s v="만기"/>
    <d v="2020-05-01T00:00:00"/>
    <d v="2024-03-15T00:00:00"/>
    <x v="3"/>
    <s v="400-500"/>
    <x v="0"/>
    <x v="3"/>
    <x v="6"/>
    <n v="0"/>
  </r>
  <r>
    <n v="4"/>
    <s v="만기"/>
    <d v="2020-05-01T00:00:00"/>
    <d v="2024-03-15T00:00:00"/>
    <x v="3"/>
    <s v="400-500"/>
    <x v="0"/>
    <x v="3"/>
    <x v="7"/>
    <n v="0"/>
  </r>
  <r>
    <n v="4"/>
    <s v="만기"/>
    <d v="2020-05-01T00:00:00"/>
    <d v="2024-03-15T00:00:00"/>
    <x v="3"/>
    <s v="400-500"/>
    <x v="0"/>
    <x v="3"/>
    <x v="8"/>
    <n v="0"/>
  </r>
  <r>
    <n v="4"/>
    <s v="만기"/>
    <d v="2020-05-01T00:00:00"/>
    <d v="2024-03-15T00:00:00"/>
    <x v="3"/>
    <s v="400-500"/>
    <x v="0"/>
    <x v="3"/>
    <x v="9"/>
    <n v="0"/>
  </r>
  <r>
    <n v="4"/>
    <s v="만기"/>
    <d v="2020-05-01T00:00:00"/>
    <d v="2024-03-15T00:00:00"/>
    <x v="3"/>
    <s v="400-500"/>
    <x v="0"/>
    <x v="3"/>
    <x v="10"/>
    <n v="0"/>
  </r>
  <r>
    <n v="4"/>
    <s v="만기"/>
    <d v="2020-05-01T00:00:00"/>
    <d v="2024-03-15T00:00:00"/>
    <x v="3"/>
    <s v="400-500"/>
    <x v="0"/>
    <x v="3"/>
    <x v="11"/>
    <n v="0"/>
  </r>
  <r>
    <n v="4"/>
    <s v="만기"/>
    <d v="2020-05-01T00:00:00"/>
    <d v="2024-03-15T00:00:00"/>
    <x v="3"/>
    <s v="400-500"/>
    <x v="0"/>
    <x v="3"/>
    <x v="12"/>
    <n v="0"/>
  </r>
  <r>
    <n v="4"/>
    <s v="만기"/>
    <d v="2020-05-01T00:00:00"/>
    <d v="2024-03-15T00:00:00"/>
    <x v="3"/>
    <s v="400-500"/>
    <x v="0"/>
    <x v="3"/>
    <x v="13"/>
    <n v="0"/>
  </r>
  <r>
    <n v="4"/>
    <s v="만기"/>
    <d v="2020-05-01T00:00:00"/>
    <d v="2024-03-15T00:00:00"/>
    <x v="3"/>
    <s v="400-500"/>
    <x v="0"/>
    <x v="3"/>
    <x v="14"/>
    <n v="0"/>
  </r>
  <r>
    <n v="4"/>
    <s v="만기"/>
    <d v="2020-05-01T00:00:00"/>
    <d v="2024-03-15T00:00:00"/>
    <x v="3"/>
    <s v="400-500"/>
    <x v="0"/>
    <x v="3"/>
    <x v="15"/>
    <n v="0"/>
  </r>
  <r>
    <n v="4"/>
    <s v="만기"/>
    <d v="2020-05-01T00:00:00"/>
    <d v="2024-03-15T00:00:00"/>
    <x v="3"/>
    <s v="400-500"/>
    <x v="0"/>
    <x v="3"/>
    <x v="16"/>
    <n v="0"/>
  </r>
  <r>
    <n v="4"/>
    <s v="만기"/>
    <d v="2020-05-01T00:00:00"/>
    <d v="2024-03-15T00:00:00"/>
    <x v="3"/>
    <s v="400-500"/>
    <x v="0"/>
    <x v="3"/>
    <x v="17"/>
    <n v="0"/>
  </r>
  <r>
    <n v="4"/>
    <s v="만기"/>
    <d v="2020-05-01T00:00:00"/>
    <d v="2024-03-15T00:00:00"/>
    <x v="3"/>
    <s v="400-500"/>
    <x v="0"/>
    <x v="3"/>
    <x v="18"/>
    <n v="0"/>
  </r>
  <r>
    <n v="4"/>
    <s v="만기"/>
    <d v="2020-05-01T00:00:00"/>
    <d v="2024-03-15T00:00:00"/>
    <x v="3"/>
    <s v="400-500"/>
    <x v="0"/>
    <x v="3"/>
    <x v="19"/>
    <n v="0"/>
  </r>
  <r>
    <n v="4"/>
    <s v="만기"/>
    <d v="2020-05-01T00:00:00"/>
    <d v="2024-03-15T00:00:00"/>
    <x v="3"/>
    <s v="400-500"/>
    <x v="0"/>
    <x v="3"/>
    <x v="20"/>
    <n v="0"/>
  </r>
  <r>
    <n v="4"/>
    <s v="만기"/>
    <d v="2020-05-01T00:00:00"/>
    <d v="2024-03-15T00:00:00"/>
    <x v="3"/>
    <s v="400-500"/>
    <x v="0"/>
    <x v="3"/>
    <x v="21"/>
    <n v="0"/>
  </r>
  <r>
    <n v="4"/>
    <s v="만기"/>
    <d v="2020-05-01T00:00:00"/>
    <d v="2024-03-15T00:00:00"/>
    <x v="3"/>
    <s v="400-500"/>
    <x v="0"/>
    <x v="3"/>
    <x v="22"/>
    <n v="0"/>
  </r>
  <r>
    <n v="4"/>
    <s v="만기"/>
    <d v="2020-05-01T00:00:00"/>
    <d v="2024-03-15T00:00:00"/>
    <x v="3"/>
    <s v="400-500"/>
    <x v="0"/>
    <x v="3"/>
    <x v="23"/>
    <n v="0"/>
  </r>
  <r>
    <n v="4"/>
    <s v="만기"/>
    <d v="2020-05-01T00:00:00"/>
    <d v="2024-03-15T00:00:00"/>
    <x v="3"/>
    <s v="400-500"/>
    <x v="0"/>
    <x v="3"/>
    <x v="24"/>
    <n v="0"/>
  </r>
  <r>
    <n v="4"/>
    <s v="만기"/>
    <d v="2020-05-01T00:00:00"/>
    <d v="2024-03-15T00:00:00"/>
    <x v="3"/>
    <s v="400-500"/>
    <x v="0"/>
    <x v="3"/>
    <x v="25"/>
    <n v="0"/>
  </r>
  <r>
    <n v="4"/>
    <s v="만기"/>
    <d v="2020-05-01T00:00:00"/>
    <d v="2024-03-15T00:00:00"/>
    <x v="3"/>
    <s v="400-500"/>
    <x v="0"/>
    <x v="3"/>
    <x v="26"/>
    <n v="0"/>
  </r>
  <r>
    <n v="4"/>
    <s v="만기"/>
    <d v="2020-05-01T00:00:00"/>
    <d v="2024-03-15T00:00:00"/>
    <x v="3"/>
    <s v="400-500"/>
    <x v="0"/>
    <x v="3"/>
    <x v="27"/>
    <n v="0"/>
  </r>
  <r>
    <n v="4"/>
    <s v="만기"/>
    <d v="2020-05-01T00:00:00"/>
    <d v="2024-03-15T00:00:00"/>
    <x v="3"/>
    <s v="400-500"/>
    <x v="0"/>
    <x v="3"/>
    <x v="28"/>
    <n v="0"/>
  </r>
  <r>
    <n v="4"/>
    <s v="만기"/>
    <d v="2020-05-01T00:00:00"/>
    <d v="2024-03-15T00:00:00"/>
    <x v="3"/>
    <s v="400-500"/>
    <x v="0"/>
    <x v="3"/>
    <x v="29"/>
    <n v="0"/>
  </r>
  <r>
    <n v="4"/>
    <s v="만기"/>
    <d v="2020-05-01T00:00:00"/>
    <d v="2024-03-15T00:00:00"/>
    <x v="3"/>
    <s v="400-500"/>
    <x v="0"/>
    <x v="3"/>
    <x v="30"/>
    <n v="0"/>
  </r>
  <r>
    <n v="4"/>
    <s v="만기"/>
    <d v="2020-05-01T00:00:00"/>
    <d v="2024-03-15T00:00:00"/>
    <x v="3"/>
    <s v="400-500"/>
    <x v="0"/>
    <x v="3"/>
    <x v="31"/>
    <n v="0"/>
  </r>
  <r>
    <n v="4"/>
    <s v="만기"/>
    <d v="2020-05-01T00:00:00"/>
    <d v="2024-03-15T00:00:00"/>
    <x v="3"/>
    <s v="400-500"/>
    <x v="0"/>
    <x v="3"/>
    <x v="32"/>
    <n v="0"/>
  </r>
  <r>
    <n v="4"/>
    <s v="만기"/>
    <d v="2020-05-01T00:00:00"/>
    <d v="2024-03-15T00:00:00"/>
    <x v="3"/>
    <s v="400-500"/>
    <x v="0"/>
    <x v="3"/>
    <x v="33"/>
    <n v="0"/>
  </r>
  <r>
    <n v="4"/>
    <s v="만기"/>
    <d v="2020-05-01T00:00:00"/>
    <d v="2024-03-15T00:00:00"/>
    <x v="3"/>
    <s v="400-500"/>
    <x v="0"/>
    <x v="3"/>
    <x v="34"/>
    <n v="0"/>
  </r>
  <r>
    <n v="4"/>
    <s v="만기"/>
    <d v="2020-05-01T00:00:00"/>
    <d v="2024-03-15T00:00:00"/>
    <x v="3"/>
    <s v="400-500"/>
    <x v="0"/>
    <x v="3"/>
    <x v="35"/>
    <n v="0"/>
  </r>
  <r>
    <n v="4"/>
    <s v="만기"/>
    <d v="2020-05-01T00:00:00"/>
    <d v="2024-03-15T00:00:00"/>
    <x v="3"/>
    <s v="400-500"/>
    <x v="0"/>
    <x v="3"/>
    <x v="36"/>
    <n v="0"/>
  </r>
  <r>
    <n v="4"/>
    <s v="만기"/>
    <d v="2020-05-01T00:00:00"/>
    <d v="2024-03-15T00:00:00"/>
    <x v="3"/>
    <s v="400-500"/>
    <x v="0"/>
    <x v="3"/>
    <x v="37"/>
    <n v="0"/>
  </r>
  <r>
    <n v="4"/>
    <s v="만기"/>
    <d v="2020-05-01T00:00:00"/>
    <d v="2024-03-15T00:00:00"/>
    <x v="3"/>
    <s v="400-500"/>
    <x v="0"/>
    <x v="3"/>
    <x v="38"/>
    <n v="0"/>
  </r>
  <r>
    <n v="4"/>
    <s v="만기"/>
    <d v="2020-05-01T00:00:00"/>
    <d v="2024-03-15T00:00:00"/>
    <x v="3"/>
    <s v="400-500"/>
    <x v="0"/>
    <x v="3"/>
    <x v="39"/>
    <n v="0"/>
  </r>
  <r>
    <n v="4"/>
    <s v="만기"/>
    <d v="2020-05-01T00:00:00"/>
    <d v="2024-03-15T00:00:00"/>
    <x v="3"/>
    <s v="400-500"/>
    <x v="0"/>
    <x v="3"/>
    <x v="40"/>
    <n v="0"/>
  </r>
  <r>
    <n v="4"/>
    <s v="만기"/>
    <d v="2020-05-01T00:00:00"/>
    <d v="2024-03-15T00:00:00"/>
    <x v="3"/>
    <s v="400-500"/>
    <x v="0"/>
    <x v="3"/>
    <x v="41"/>
    <n v="0"/>
  </r>
  <r>
    <n v="4"/>
    <s v="만기"/>
    <d v="2020-05-01T00:00:00"/>
    <d v="2024-03-15T00:00:00"/>
    <x v="3"/>
    <s v="400-500"/>
    <x v="0"/>
    <x v="3"/>
    <x v="42"/>
    <n v="0"/>
  </r>
  <r>
    <n v="4"/>
    <s v="만기"/>
    <d v="2020-05-01T00:00:00"/>
    <d v="2024-03-15T00:00:00"/>
    <x v="3"/>
    <s v="400-500"/>
    <x v="0"/>
    <x v="3"/>
    <x v="43"/>
    <n v="0"/>
  </r>
  <r>
    <n v="4"/>
    <s v="만기"/>
    <d v="2020-05-01T00:00:00"/>
    <d v="2024-03-15T00:00:00"/>
    <x v="3"/>
    <s v="400-500"/>
    <x v="0"/>
    <x v="3"/>
    <x v="44"/>
    <n v="0"/>
  </r>
  <r>
    <n v="4"/>
    <s v="만기"/>
    <d v="2020-05-01T00:00:00"/>
    <d v="2024-03-15T00:00:00"/>
    <x v="3"/>
    <s v="400-500"/>
    <x v="0"/>
    <x v="3"/>
    <x v="45"/>
    <n v="0"/>
  </r>
  <r>
    <n v="4"/>
    <s v="만기"/>
    <d v="2020-05-01T00:00:00"/>
    <d v="2024-03-15T00:00:00"/>
    <x v="3"/>
    <s v="400-500"/>
    <x v="0"/>
    <x v="3"/>
    <x v="46"/>
    <n v="1"/>
  </r>
  <r>
    <n v="5"/>
    <s v="실효"/>
    <d v="2022-06-08T00:00:00"/>
    <d v="2025-04-28T00:00:00"/>
    <x v="2"/>
    <s v="300-400"/>
    <x v="1"/>
    <x v="2"/>
    <x v="0"/>
    <n v="0"/>
  </r>
  <r>
    <n v="5"/>
    <s v="실효"/>
    <d v="2022-06-08T00:00:00"/>
    <d v="2025-04-28T00:00:00"/>
    <x v="2"/>
    <s v="300-400"/>
    <x v="1"/>
    <x v="2"/>
    <x v="1"/>
    <n v="0"/>
  </r>
  <r>
    <n v="5"/>
    <s v="실효"/>
    <d v="2022-06-08T00:00:00"/>
    <d v="2025-04-28T00:00:00"/>
    <x v="2"/>
    <s v="300-400"/>
    <x v="1"/>
    <x v="2"/>
    <x v="2"/>
    <n v="0"/>
  </r>
  <r>
    <n v="5"/>
    <s v="실효"/>
    <d v="2022-06-08T00:00:00"/>
    <d v="2025-04-28T00:00:00"/>
    <x v="2"/>
    <s v="300-400"/>
    <x v="1"/>
    <x v="2"/>
    <x v="3"/>
    <n v="0"/>
  </r>
  <r>
    <n v="5"/>
    <s v="실효"/>
    <d v="2022-06-08T00:00:00"/>
    <d v="2025-04-28T00:00:00"/>
    <x v="2"/>
    <s v="300-400"/>
    <x v="1"/>
    <x v="2"/>
    <x v="4"/>
    <n v="0"/>
  </r>
  <r>
    <n v="5"/>
    <s v="실효"/>
    <d v="2022-06-08T00:00:00"/>
    <d v="2025-04-28T00:00:00"/>
    <x v="2"/>
    <s v="300-400"/>
    <x v="1"/>
    <x v="2"/>
    <x v="5"/>
    <n v="0"/>
  </r>
  <r>
    <n v="5"/>
    <s v="실효"/>
    <d v="2022-06-08T00:00:00"/>
    <d v="2025-04-28T00:00:00"/>
    <x v="2"/>
    <s v="300-400"/>
    <x v="1"/>
    <x v="2"/>
    <x v="6"/>
    <n v="0"/>
  </r>
  <r>
    <n v="5"/>
    <s v="실효"/>
    <d v="2022-06-08T00:00:00"/>
    <d v="2025-04-28T00:00:00"/>
    <x v="2"/>
    <s v="300-400"/>
    <x v="1"/>
    <x v="2"/>
    <x v="7"/>
    <n v="0"/>
  </r>
  <r>
    <n v="5"/>
    <s v="실효"/>
    <d v="2022-06-08T00:00:00"/>
    <d v="2025-04-28T00:00:00"/>
    <x v="2"/>
    <s v="300-400"/>
    <x v="1"/>
    <x v="2"/>
    <x v="8"/>
    <n v="0"/>
  </r>
  <r>
    <n v="5"/>
    <s v="실효"/>
    <d v="2022-06-08T00:00:00"/>
    <d v="2025-04-28T00:00:00"/>
    <x v="2"/>
    <s v="300-400"/>
    <x v="1"/>
    <x v="2"/>
    <x v="9"/>
    <n v="0"/>
  </r>
  <r>
    <n v="5"/>
    <s v="실효"/>
    <d v="2022-06-08T00:00:00"/>
    <d v="2025-04-28T00:00:00"/>
    <x v="2"/>
    <s v="300-400"/>
    <x v="1"/>
    <x v="2"/>
    <x v="10"/>
    <n v="0"/>
  </r>
  <r>
    <n v="5"/>
    <s v="실효"/>
    <d v="2022-06-08T00:00:00"/>
    <d v="2025-04-28T00:00:00"/>
    <x v="2"/>
    <s v="300-400"/>
    <x v="1"/>
    <x v="2"/>
    <x v="11"/>
    <n v="0"/>
  </r>
  <r>
    <n v="5"/>
    <s v="실효"/>
    <d v="2022-06-08T00:00:00"/>
    <d v="2025-04-28T00:00:00"/>
    <x v="2"/>
    <s v="300-400"/>
    <x v="1"/>
    <x v="2"/>
    <x v="12"/>
    <n v="0"/>
  </r>
  <r>
    <n v="5"/>
    <s v="실효"/>
    <d v="2022-06-08T00:00:00"/>
    <d v="2025-04-28T00:00:00"/>
    <x v="2"/>
    <s v="300-400"/>
    <x v="1"/>
    <x v="2"/>
    <x v="13"/>
    <n v="0"/>
  </r>
  <r>
    <n v="5"/>
    <s v="실효"/>
    <d v="2022-06-08T00:00:00"/>
    <d v="2025-04-28T00:00:00"/>
    <x v="2"/>
    <s v="300-400"/>
    <x v="1"/>
    <x v="2"/>
    <x v="14"/>
    <n v="0"/>
  </r>
  <r>
    <n v="5"/>
    <s v="실효"/>
    <d v="2022-06-08T00:00:00"/>
    <d v="2025-04-28T00:00:00"/>
    <x v="2"/>
    <s v="300-400"/>
    <x v="1"/>
    <x v="2"/>
    <x v="15"/>
    <n v="0"/>
  </r>
  <r>
    <n v="5"/>
    <s v="실효"/>
    <d v="2022-06-08T00:00:00"/>
    <d v="2025-04-28T00:00:00"/>
    <x v="2"/>
    <s v="300-400"/>
    <x v="1"/>
    <x v="2"/>
    <x v="16"/>
    <n v="0"/>
  </r>
  <r>
    <n v="5"/>
    <s v="실효"/>
    <d v="2022-06-08T00:00:00"/>
    <d v="2025-04-28T00:00:00"/>
    <x v="2"/>
    <s v="300-400"/>
    <x v="1"/>
    <x v="2"/>
    <x v="17"/>
    <n v="0"/>
  </r>
  <r>
    <n v="5"/>
    <s v="실효"/>
    <d v="2022-06-08T00:00:00"/>
    <d v="2025-04-28T00:00:00"/>
    <x v="2"/>
    <s v="300-400"/>
    <x v="1"/>
    <x v="2"/>
    <x v="18"/>
    <n v="0"/>
  </r>
  <r>
    <n v="5"/>
    <s v="실효"/>
    <d v="2022-06-08T00:00:00"/>
    <d v="2025-04-28T00:00:00"/>
    <x v="2"/>
    <s v="300-400"/>
    <x v="1"/>
    <x v="2"/>
    <x v="19"/>
    <n v="0"/>
  </r>
  <r>
    <n v="5"/>
    <s v="실효"/>
    <d v="2022-06-08T00:00:00"/>
    <d v="2025-04-28T00:00:00"/>
    <x v="2"/>
    <s v="300-400"/>
    <x v="1"/>
    <x v="2"/>
    <x v="20"/>
    <n v="0"/>
  </r>
  <r>
    <n v="5"/>
    <s v="실효"/>
    <d v="2022-06-08T00:00:00"/>
    <d v="2025-04-28T00:00:00"/>
    <x v="2"/>
    <s v="300-400"/>
    <x v="1"/>
    <x v="2"/>
    <x v="21"/>
    <n v="0"/>
  </r>
  <r>
    <n v="5"/>
    <s v="실효"/>
    <d v="2022-06-08T00:00:00"/>
    <d v="2025-04-28T00:00:00"/>
    <x v="2"/>
    <s v="300-400"/>
    <x v="1"/>
    <x v="2"/>
    <x v="22"/>
    <n v="0"/>
  </r>
  <r>
    <n v="5"/>
    <s v="실효"/>
    <d v="2022-06-08T00:00:00"/>
    <d v="2025-04-28T00:00:00"/>
    <x v="2"/>
    <s v="300-400"/>
    <x v="1"/>
    <x v="2"/>
    <x v="23"/>
    <n v="0"/>
  </r>
  <r>
    <n v="5"/>
    <s v="실효"/>
    <d v="2022-06-08T00:00:00"/>
    <d v="2025-04-28T00:00:00"/>
    <x v="2"/>
    <s v="300-400"/>
    <x v="1"/>
    <x v="2"/>
    <x v="24"/>
    <n v="0"/>
  </r>
  <r>
    <n v="5"/>
    <s v="실효"/>
    <d v="2022-06-08T00:00:00"/>
    <d v="2025-04-28T00:00:00"/>
    <x v="2"/>
    <s v="300-400"/>
    <x v="1"/>
    <x v="2"/>
    <x v="25"/>
    <n v="0"/>
  </r>
  <r>
    <n v="5"/>
    <s v="실효"/>
    <d v="2022-06-08T00:00:00"/>
    <d v="2025-04-28T00:00:00"/>
    <x v="2"/>
    <s v="300-400"/>
    <x v="1"/>
    <x v="2"/>
    <x v="26"/>
    <n v="0"/>
  </r>
  <r>
    <n v="5"/>
    <s v="실효"/>
    <d v="2022-06-08T00:00:00"/>
    <d v="2025-04-28T00:00:00"/>
    <x v="2"/>
    <s v="300-400"/>
    <x v="1"/>
    <x v="2"/>
    <x v="27"/>
    <n v="0"/>
  </r>
  <r>
    <n v="5"/>
    <s v="실효"/>
    <d v="2022-06-08T00:00:00"/>
    <d v="2025-04-28T00:00:00"/>
    <x v="2"/>
    <s v="300-400"/>
    <x v="1"/>
    <x v="2"/>
    <x v="28"/>
    <n v="0"/>
  </r>
  <r>
    <n v="5"/>
    <s v="실효"/>
    <d v="2022-06-08T00:00:00"/>
    <d v="2025-04-28T00:00:00"/>
    <x v="2"/>
    <s v="300-400"/>
    <x v="1"/>
    <x v="2"/>
    <x v="29"/>
    <n v="0"/>
  </r>
  <r>
    <n v="5"/>
    <s v="실효"/>
    <d v="2022-06-08T00:00:00"/>
    <d v="2025-04-28T00:00:00"/>
    <x v="2"/>
    <s v="300-400"/>
    <x v="1"/>
    <x v="2"/>
    <x v="30"/>
    <n v="0"/>
  </r>
  <r>
    <n v="5"/>
    <s v="실효"/>
    <d v="2022-06-08T00:00:00"/>
    <d v="2025-04-28T00:00:00"/>
    <x v="2"/>
    <s v="300-400"/>
    <x v="1"/>
    <x v="2"/>
    <x v="31"/>
    <n v="0"/>
  </r>
  <r>
    <n v="5"/>
    <s v="실효"/>
    <d v="2022-06-08T00:00:00"/>
    <d v="2025-04-28T00:00:00"/>
    <x v="2"/>
    <s v="300-400"/>
    <x v="1"/>
    <x v="2"/>
    <x v="32"/>
    <n v="0"/>
  </r>
  <r>
    <n v="5"/>
    <s v="실효"/>
    <d v="2022-06-08T00:00:00"/>
    <d v="2025-04-28T00:00:00"/>
    <x v="2"/>
    <s v="300-400"/>
    <x v="1"/>
    <x v="2"/>
    <x v="33"/>
    <n v="0"/>
  </r>
  <r>
    <n v="5"/>
    <s v="실효"/>
    <d v="2022-06-08T00:00:00"/>
    <d v="2025-04-28T00:00:00"/>
    <x v="2"/>
    <s v="300-400"/>
    <x v="1"/>
    <x v="2"/>
    <x v="34"/>
    <n v="1"/>
  </r>
  <r>
    <n v="6"/>
    <s v="유지"/>
    <d v="2024-01-28T00:00:00"/>
    <d v="2026-03-31T00:00:00"/>
    <x v="0"/>
    <s v="200-300"/>
    <x v="1"/>
    <x v="4"/>
    <x v="0"/>
    <n v="0"/>
  </r>
  <r>
    <n v="6"/>
    <s v="유지"/>
    <d v="2024-01-28T00:00:00"/>
    <d v="2026-03-31T00:00:00"/>
    <x v="0"/>
    <s v="200-300"/>
    <x v="1"/>
    <x v="4"/>
    <x v="1"/>
    <n v="0"/>
  </r>
  <r>
    <n v="6"/>
    <s v="유지"/>
    <d v="2024-01-28T00:00:00"/>
    <d v="2026-03-31T00:00:00"/>
    <x v="0"/>
    <s v="200-300"/>
    <x v="1"/>
    <x v="4"/>
    <x v="2"/>
    <n v="0"/>
  </r>
  <r>
    <n v="6"/>
    <s v="유지"/>
    <d v="2024-01-28T00:00:00"/>
    <d v="2026-03-31T00:00:00"/>
    <x v="0"/>
    <s v="200-300"/>
    <x v="1"/>
    <x v="4"/>
    <x v="3"/>
    <n v="0"/>
  </r>
  <r>
    <n v="6"/>
    <s v="유지"/>
    <d v="2024-01-28T00:00:00"/>
    <d v="2026-03-31T00:00:00"/>
    <x v="0"/>
    <s v="200-300"/>
    <x v="1"/>
    <x v="4"/>
    <x v="4"/>
    <n v="0"/>
  </r>
  <r>
    <n v="6"/>
    <s v="유지"/>
    <d v="2024-01-28T00:00:00"/>
    <d v="2026-03-31T00:00:00"/>
    <x v="0"/>
    <s v="200-300"/>
    <x v="1"/>
    <x v="4"/>
    <x v="5"/>
    <n v="0"/>
  </r>
  <r>
    <n v="6"/>
    <s v="유지"/>
    <d v="2024-01-28T00:00:00"/>
    <d v="2026-03-31T00:00:00"/>
    <x v="0"/>
    <s v="200-300"/>
    <x v="1"/>
    <x v="4"/>
    <x v="6"/>
    <n v="0"/>
  </r>
  <r>
    <n v="6"/>
    <s v="유지"/>
    <d v="2024-01-28T00:00:00"/>
    <d v="2026-03-31T00:00:00"/>
    <x v="0"/>
    <s v="200-300"/>
    <x v="1"/>
    <x v="4"/>
    <x v="7"/>
    <n v="0"/>
  </r>
  <r>
    <n v="6"/>
    <s v="유지"/>
    <d v="2024-01-28T00:00:00"/>
    <d v="2026-03-31T00:00:00"/>
    <x v="0"/>
    <s v="200-300"/>
    <x v="1"/>
    <x v="4"/>
    <x v="8"/>
    <n v="0"/>
  </r>
  <r>
    <n v="6"/>
    <s v="유지"/>
    <d v="2024-01-28T00:00:00"/>
    <d v="2026-03-31T00:00:00"/>
    <x v="0"/>
    <s v="200-300"/>
    <x v="1"/>
    <x v="4"/>
    <x v="9"/>
    <n v="0"/>
  </r>
  <r>
    <n v="6"/>
    <s v="유지"/>
    <d v="2024-01-28T00:00:00"/>
    <d v="2026-03-31T00:00:00"/>
    <x v="0"/>
    <s v="200-300"/>
    <x v="1"/>
    <x v="4"/>
    <x v="10"/>
    <n v="0"/>
  </r>
  <r>
    <n v="6"/>
    <s v="유지"/>
    <d v="2024-01-28T00:00:00"/>
    <d v="2026-03-31T00:00:00"/>
    <x v="0"/>
    <s v="200-300"/>
    <x v="1"/>
    <x v="4"/>
    <x v="11"/>
    <n v="0"/>
  </r>
  <r>
    <n v="6"/>
    <s v="유지"/>
    <d v="2024-01-28T00:00:00"/>
    <d v="2026-03-31T00:00:00"/>
    <x v="0"/>
    <s v="200-300"/>
    <x v="1"/>
    <x v="4"/>
    <x v="12"/>
    <n v="0"/>
  </r>
  <r>
    <n v="6"/>
    <s v="유지"/>
    <d v="2024-01-28T00:00:00"/>
    <d v="2026-03-31T00:00:00"/>
    <x v="0"/>
    <s v="200-300"/>
    <x v="1"/>
    <x v="4"/>
    <x v="13"/>
    <n v="0"/>
  </r>
  <r>
    <n v="6"/>
    <s v="유지"/>
    <d v="2024-01-28T00:00:00"/>
    <d v="2026-03-31T00:00:00"/>
    <x v="0"/>
    <s v="200-300"/>
    <x v="1"/>
    <x v="4"/>
    <x v="14"/>
    <n v="0"/>
  </r>
  <r>
    <n v="6"/>
    <s v="유지"/>
    <d v="2024-01-28T00:00:00"/>
    <d v="2026-03-31T00:00:00"/>
    <x v="0"/>
    <s v="200-300"/>
    <x v="1"/>
    <x v="4"/>
    <x v="15"/>
    <n v="0"/>
  </r>
  <r>
    <n v="6"/>
    <s v="유지"/>
    <d v="2024-01-28T00:00:00"/>
    <d v="2026-03-31T00:00:00"/>
    <x v="0"/>
    <s v="200-300"/>
    <x v="1"/>
    <x v="4"/>
    <x v="16"/>
    <n v="0"/>
  </r>
  <r>
    <n v="6"/>
    <s v="유지"/>
    <d v="2024-01-28T00:00:00"/>
    <d v="2026-03-31T00:00:00"/>
    <x v="0"/>
    <s v="200-300"/>
    <x v="1"/>
    <x v="4"/>
    <x v="17"/>
    <n v="0"/>
  </r>
  <r>
    <n v="6"/>
    <s v="유지"/>
    <d v="2024-01-28T00:00:00"/>
    <d v="2026-03-31T00:00:00"/>
    <x v="0"/>
    <s v="200-300"/>
    <x v="1"/>
    <x v="4"/>
    <x v="18"/>
    <n v="0"/>
  </r>
  <r>
    <n v="6"/>
    <s v="유지"/>
    <d v="2024-01-28T00:00:00"/>
    <d v="2026-03-31T00:00:00"/>
    <x v="0"/>
    <s v="200-300"/>
    <x v="1"/>
    <x v="4"/>
    <x v="19"/>
    <n v="0"/>
  </r>
  <r>
    <n v="6"/>
    <s v="유지"/>
    <d v="2024-01-28T00:00:00"/>
    <d v="2026-03-31T00:00:00"/>
    <x v="0"/>
    <s v="200-300"/>
    <x v="1"/>
    <x v="4"/>
    <x v="20"/>
    <n v="0"/>
  </r>
  <r>
    <n v="6"/>
    <s v="유지"/>
    <d v="2024-01-28T00:00:00"/>
    <d v="2026-03-31T00:00:00"/>
    <x v="0"/>
    <s v="200-300"/>
    <x v="1"/>
    <x v="4"/>
    <x v="21"/>
    <n v="0"/>
  </r>
  <r>
    <n v="6"/>
    <s v="유지"/>
    <d v="2024-01-28T00:00:00"/>
    <d v="2026-03-31T00:00:00"/>
    <x v="0"/>
    <s v="200-300"/>
    <x v="1"/>
    <x v="4"/>
    <x v="22"/>
    <n v="0"/>
  </r>
  <r>
    <n v="6"/>
    <s v="유지"/>
    <d v="2024-01-28T00:00:00"/>
    <d v="2026-03-31T00:00:00"/>
    <x v="0"/>
    <s v="200-300"/>
    <x v="1"/>
    <x v="4"/>
    <x v="23"/>
    <n v="0"/>
  </r>
  <r>
    <n v="6"/>
    <s v="유지"/>
    <d v="2024-01-28T00:00:00"/>
    <d v="2026-03-31T00:00:00"/>
    <x v="0"/>
    <s v="200-300"/>
    <x v="1"/>
    <x v="4"/>
    <x v="24"/>
    <n v="0"/>
  </r>
  <r>
    <n v="6"/>
    <s v="유지"/>
    <d v="2024-01-28T00:00:00"/>
    <d v="2026-03-31T00:00:00"/>
    <x v="0"/>
    <s v="200-300"/>
    <x v="1"/>
    <x v="4"/>
    <x v="25"/>
    <n v="0"/>
  </r>
  <r>
    <n v="6"/>
    <s v="유지"/>
    <d v="2024-01-28T00:00:00"/>
    <d v="2026-03-31T00:00:00"/>
    <x v="0"/>
    <s v="200-300"/>
    <x v="1"/>
    <x v="4"/>
    <x v="26"/>
    <n v="0"/>
  </r>
  <r>
    <n v="7"/>
    <s v="유지"/>
    <d v="2025-01-01T00:00:00"/>
    <d v="2026-03-31T00:00:00"/>
    <x v="0"/>
    <s v="100-200"/>
    <x v="0"/>
    <x v="5"/>
    <x v="0"/>
    <n v="0"/>
  </r>
  <r>
    <n v="7"/>
    <s v="유지"/>
    <d v="2025-01-01T00:00:00"/>
    <d v="2026-03-31T00:00:00"/>
    <x v="0"/>
    <s v="100-200"/>
    <x v="0"/>
    <x v="5"/>
    <x v="1"/>
    <n v="0"/>
  </r>
  <r>
    <n v="7"/>
    <s v="유지"/>
    <d v="2025-01-01T00:00:00"/>
    <d v="2026-03-31T00:00:00"/>
    <x v="0"/>
    <s v="100-200"/>
    <x v="0"/>
    <x v="5"/>
    <x v="2"/>
    <n v="0"/>
  </r>
  <r>
    <n v="7"/>
    <s v="유지"/>
    <d v="2025-01-01T00:00:00"/>
    <d v="2026-03-31T00:00:00"/>
    <x v="0"/>
    <s v="100-200"/>
    <x v="0"/>
    <x v="5"/>
    <x v="3"/>
    <n v="0"/>
  </r>
  <r>
    <n v="7"/>
    <s v="유지"/>
    <d v="2025-01-01T00:00:00"/>
    <d v="2026-03-31T00:00:00"/>
    <x v="0"/>
    <s v="100-200"/>
    <x v="0"/>
    <x v="5"/>
    <x v="4"/>
    <n v="0"/>
  </r>
  <r>
    <n v="7"/>
    <s v="유지"/>
    <d v="2025-01-01T00:00:00"/>
    <d v="2026-03-31T00:00:00"/>
    <x v="0"/>
    <s v="100-200"/>
    <x v="0"/>
    <x v="5"/>
    <x v="5"/>
    <n v="0"/>
  </r>
  <r>
    <n v="7"/>
    <s v="유지"/>
    <d v="2025-01-01T00:00:00"/>
    <d v="2026-03-31T00:00:00"/>
    <x v="0"/>
    <s v="100-200"/>
    <x v="0"/>
    <x v="5"/>
    <x v="6"/>
    <n v="0"/>
  </r>
  <r>
    <n v="7"/>
    <s v="유지"/>
    <d v="2025-01-01T00:00:00"/>
    <d v="2026-03-31T00:00:00"/>
    <x v="0"/>
    <s v="100-200"/>
    <x v="0"/>
    <x v="5"/>
    <x v="7"/>
    <n v="0"/>
  </r>
  <r>
    <n v="7"/>
    <s v="유지"/>
    <d v="2025-01-01T00:00:00"/>
    <d v="2026-03-31T00:00:00"/>
    <x v="0"/>
    <s v="100-200"/>
    <x v="0"/>
    <x v="5"/>
    <x v="8"/>
    <n v="0"/>
  </r>
  <r>
    <n v="7"/>
    <s v="유지"/>
    <d v="2025-01-01T00:00:00"/>
    <d v="2026-03-31T00:00:00"/>
    <x v="0"/>
    <s v="100-200"/>
    <x v="0"/>
    <x v="5"/>
    <x v="9"/>
    <n v="0"/>
  </r>
  <r>
    <n v="7"/>
    <s v="유지"/>
    <d v="2025-01-01T00:00:00"/>
    <d v="2026-03-31T00:00:00"/>
    <x v="0"/>
    <s v="100-200"/>
    <x v="0"/>
    <x v="5"/>
    <x v="10"/>
    <n v="0"/>
  </r>
  <r>
    <n v="7"/>
    <s v="유지"/>
    <d v="2025-01-01T00:00:00"/>
    <d v="2026-03-31T00:00:00"/>
    <x v="0"/>
    <s v="100-200"/>
    <x v="0"/>
    <x v="5"/>
    <x v="11"/>
    <n v="0"/>
  </r>
  <r>
    <n v="7"/>
    <s v="유지"/>
    <d v="2025-01-01T00:00:00"/>
    <d v="2026-03-31T00:00:00"/>
    <x v="0"/>
    <s v="100-200"/>
    <x v="0"/>
    <x v="5"/>
    <x v="12"/>
    <n v="0"/>
  </r>
  <r>
    <n v="7"/>
    <s v="유지"/>
    <d v="2025-01-01T00:00:00"/>
    <d v="2026-03-31T00:00:00"/>
    <x v="0"/>
    <s v="100-200"/>
    <x v="0"/>
    <x v="5"/>
    <x v="13"/>
    <n v="0"/>
  </r>
  <r>
    <n v="7"/>
    <s v="유지"/>
    <d v="2025-01-01T00:00:00"/>
    <d v="2026-03-31T00:00:00"/>
    <x v="0"/>
    <s v="100-200"/>
    <x v="0"/>
    <x v="5"/>
    <x v="14"/>
    <n v="0"/>
  </r>
  <r>
    <n v="8"/>
    <s v="유지"/>
    <d v="2022-03-05T00:00:00"/>
    <d v="2026-03-31T00:00:00"/>
    <x v="4"/>
    <s v="500-600"/>
    <x v="0"/>
    <x v="6"/>
    <x v="0"/>
    <n v="0"/>
  </r>
  <r>
    <n v="8"/>
    <s v="유지"/>
    <d v="2022-03-05T00:00:00"/>
    <d v="2026-03-31T00:00:00"/>
    <x v="4"/>
    <s v="500-600"/>
    <x v="0"/>
    <x v="6"/>
    <x v="1"/>
    <n v="0"/>
  </r>
  <r>
    <n v="8"/>
    <s v="유지"/>
    <d v="2022-03-05T00:00:00"/>
    <d v="2026-03-31T00:00:00"/>
    <x v="4"/>
    <s v="500-600"/>
    <x v="0"/>
    <x v="6"/>
    <x v="2"/>
    <n v="0"/>
  </r>
  <r>
    <n v="8"/>
    <s v="유지"/>
    <d v="2022-03-05T00:00:00"/>
    <d v="2026-03-31T00:00:00"/>
    <x v="4"/>
    <s v="500-600"/>
    <x v="0"/>
    <x v="6"/>
    <x v="3"/>
    <n v="0"/>
  </r>
  <r>
    <n v="8"/>
    <s v="유지"/>
    <d v="2022-03-05T00:00:00"/>
    <d v="2026-03-31T00:00:00"/>
    <x v="4"/>
    <s v="500-600"/>
    <x v="0"/>
    <x v="6"/>
    <x v="4"/>
    <n v="0"/>
  </r>
  <r>
    <n v="8"/>
    <s v="유지"/>
    <d v="2022-03-05T00:00:00"/>
    <d v="2026-03-31T00:00:00"/>
    <x v="4"/>
    <s v="500-600"/>
    <x v="0"/>
    <x v="6"/>
    <x v="5"/>
    <n v="0"/>
  </r>
  <r>
    <n v="8"/>
    <s v="유지"/>
    <d v="2022-03-05T00:00:00"/>
    <d v="2026-03-31T00:00:00"/>
    <x v="4"/>
    <s v="500-600"/>
    <x v="0"/>
    <x v="6"/>
    <x v="6"/>
    <n v="0"/>
  </r>
  <r>
    <n v="8"/>
    <s v="유지"/>
    <d v="2022-03-05T00:00:00"/>
    <d v="2026-03-31T00:00:00"/>
    <x v="4"/>
    <s v="500-600"/>
    <x v="0"/>
    <x v="6"/>
    <x v="7"/>
    <n v="0"/>
  </r>
  <r>
    <n v="8"/>
    <s v="유지"/>
    <d v="2022-03-05T00:00:00"/>
    <d v="2026-03-31T00:00:00"/>
    <x v="4"/>
    <s v="500-600"/>
    <x v="0"/>
    <x v="6"/>
    <x v="8"/>
    <n v="0"/>
  </r>
  <r>
    <n v="8"/>
    <s v="유지"/>
    <d v="2022-03-05T00:00:00"/>
    <d v="2026-03-31T00:00:00"/>
    <x v="4"/>
    <s v="500-600"/>
    <x v="0"/>
    <x v="6"/>
    <x v="9"/>
    <n v="0"/>
  </r>
  <r>
    <n v="8"/>
    <s v="유지"/>
    <d v="2022-03-05T00:00:00"/>
    <d v="2026-03-31T00:00:00"/>
    <x v="4"/>
    <s v="500-600"/>
    <x v="0"/>
    <x v="6"/>
    <x v="10"/>
    <n v="0"/>
  </r>
  <r>
    <n v="8"/>
    <s v="유지"/>
    <d v="2022-03-05T00:00:00"/>
    <d v="2026-03-31T00:00:00"/>
    <x v="4"/>
    <s v="500-600"/>
    <x v="0"/>
    <x v="6"/>
    <x v="11"/>
    <n v="0"/>
  </r>
  <r>
    <n v="8"/>
    <s v="유지"/>
    <d v="2022-03-05T00:00:00"/>
    <d v="2026-03-31T00:00:00"/>
    <x v="4"/>
    <s v="500-600"/>
    <x v="0"/>
    <x v="6"/>
    <x v="12"/>
    <n v="0"/>
  </r>
  <r>
    <n v="8"/>
    <s v="유지"/>
    <d v="2022-03-05T00:00:00"/>
    <d v="2026-03-31T00:00:00"/>
    <x v="4"/>
    <s v="500-600"/>
    <x v="0"/>
    <x v="6"/>
    <x v="13"/>
    <n v="0"/>
  </r>
  <r>
    <n v="8"/>
    <s v="유지"/>
    <d v="2022-03-05T00:00:00"/>
    <d v="2026-03-31T00:00:00"/>
    <x v="4"/>
    <s v="500-600"/>
    <x v="0"/>
    <x v="6"/>
    <x v="14"/>
    <n v="0"/>
  </r>
  <r>
    <n v="8"/>
    <s v="유지"/>
    <d v="2022-03-05T00:00:00"/>
    <d v="2026-03-31T00:00:00"/>
    <x v="4"/>
    <s v="500-600"/>
    <x v="0"/>
    <x v="6"/>
    <x v="15"/>
    <n v="0"/>
  </r>
  <r>
    <n v="8"/>
    <s v="유지"/>
    <d v="2022-03-05T00:00:00"/>
    <d v="2026-03-31T00:00:00"/>
    <x v="4"/>
    <s v="500-600"/>
    <x v="0"/>
    <x v="6"/>
    <x v="16"/>
    <n v="0"/>
  </r>
  <r>
    <n v="8"/>
    <s v="유지"/>
    <d v="2022-03-05T00:00:00"/>
    <d v="2026-03-31T00:00:00"/>
    <x v="4"/>
    <s v="500-600"/>
    <x v="0"/>
    <x v="6"/>
    <x v="17"/>
    <n v="0"/>
  </r>
  <r>
    <n v="8"/>
    <s v="유지"/>
    <d v="2022-03-05T00:00:00"/>
    <d v="2026-03-31T00:00:00"/>
    <x v="4"/>
    <s v="500-600"/>
    <x v="0"/>
    <x v="6"/>
    <x v="18"/>
    <n v="0"/>
  </r>
  <r>
    <n v="8"/>
    <s v="유지"/>
    <d v="2022-03-05T00:00:00"/>
    <d v="2026-03-31T00:00:00"/>
    <x v="4"/>
    <s v="500-600"/>
    <x v="0"/>
    <x v="6"/>
    <x v="19"/>
    <n v="0"/>
  </r>
  <r>
    <n v="8"/>
    <s v="유지"/>
    <d v="2022-03-05T00:00:00"/>
    <d v="2026-03-31T00:00:00"/>
    <x v="4"/>
    <s v="500-600"/>
    <x v="0"/>
    <x v="6"/>
    <x v="20"/>
    <n v="0"/>
  </r>
  <r>
    <n v="8"/>
    <s v="유지"/>
    <d v="2022-03-05T00:00:00"/>
    <d v="2026-03-31T00:00:00"/>
    <x v="4"/>
    <s v="500-600"/>
    <x v="0"/>
    <x v="6"/>
    <x v="21"/>
    <n v="0"/>
  </r>
  <r>
    <n v="8"/>
    <s v="유지"/>
    <d v="2022-03-05T00:00:00"/>
    <d v="2026-03-31T00:00:00"/>
    <x v="4"/>
    <s v="500-600"/>
    <x v="0"/>
    <x v="6"/>
    <x v="22"/>
    <n v="0"/>
  </r>
  <r>
    <n v="8"/>
    <s v="유지"/>
    <d v="2022-03-05T00:00:00"/>
    <d v="2026-03-31T00:00:00"/>
    <x v="4"/>
    <s v="500-600"/>
    <x v="0"/>
    <x v="6"/>
    <x v="23"/>
    <n v="0"/>
  </r>
  <r>
    <n v="8"/>
    <s v="유지"/>
    <d v="2022-03-05T00:00:00"/>
    <d v="2026-03-31T00:00:00"/>
    <x v="4"/>
    <s v="500-600"/>
    <x v="0"/>
    <x v="6"/>
    <x v="24"/>
    <n v="0"/>
  </r>
  <r>
    <n v="8"/>
    <s v="유지"/>
    <d v="2022-03-05T00:00:00"/>
    <d v="2026-03-31T00:00:00"/>
    <x v="4"/>
    <s v="500-600"/>
    <x v="0"/>
    <x v="6"/>
    <x v="25"/>
    <n v="0"/>
  </r>
  <r>
    <n v="8"/>
    <s v="유지"/>
    <d v="2022-03-05T00:00:00"/>
    <d v="2026-03-31T00:00:00"/>
    <x v="4"/>
    <s v="500-600"/>
    <x v="0"/>
    <x v="6"/>
    <x v="26"/>
    <n v="0"/>
  </r>
  <r>
    <n v="8"/>
    <s v="유지"/>
    <d v="2022-03-05T00:00:00"/>
    <d v="2026-03-31T00:00:00"/>
    <x v="4"/>
    <s v="500-600"/>
    <x v="0"/>
    <x v="6"/>
    <x v="27"/>
    <n v="0"/>
  </r>
  <r>
    <n v="8"/>
    <s v="유지"/>
    <d v="2022-03-05T00:00:00"/>
    <d v="2026-03-31T00:00:00"/>
    <x v="4"/>
    <s v="500-600"/>
    <x v="0"/>
    <x v="6"/>
    <x v="28"/>
    <n v="0"/>
  </r>
  <r>
    <n v="8"/>
    <s v="유지"/>
    <d v="2022-03-05T00:00:00"/>
    <d v="2026-03-31T00:00:00"/>
    <x v="4"/>
    <s v="500-600"/>
    <x v="0"/>
    <x v="6"/>
    <x v="29"/>
    <n v="0"/>
  </r>
  <r>
    <n v="8"/>
    <s v="유지"/>
    <d v="2022-03-05T00:00:00"/>
    <d v="2026-03-31T00:00:00"/>
    <x v="4"/>
    <s v="500-600"/>
    <x v="0"/>
    <x v="6"/>
    <x v="30"/>
    <n v="0"/>
  </r>
  <r>
    <n v="8"/>
    <s v="유지"/>
    <d v="2022-03-05T00:00:00"/>
    <d v="2026-03-31T00:00:00"/>
    <x v="4"/>
    <s v="500-600"/>
    <x v="0"/>
    <x v="6"/>
    <x v="31"/>
    <n v="0"/>
  </r>
  <r>
    <n v="8"/>
    <s v="유지"/>
    <d v="2022-03-05T00:00:00"/>
    <d v="2026-03-31T00:00:00"/>
    <x v="4"/>
    <s v="500-600"/>
    <x v="0"/>
    <x v="6"/>
    <x v="32"/>
    <n v="0"/>
  </r>
  <r>
    <n v="8"/>
    <s v="유지"/>
    <d v="2022-03-05T00:00:00"/>
    <d v="2026-03-31T00:00:00"/>
    <x v="4"/>
    <s v="500-600"/>
    <x v="0"/>
    <x v="6"/>
    <x v="33"/>
    <n v="0"/>
  </r>
  <r>
    <n v="8"/>
    <s v="유지"/>
    <d v="2022-03-05T00:00:00"/>
    <d v="2026-03-31T00:00:00"/>
    <x v="4"/>
    <s v="500-600"/>
    <x v="0"/>
    <x v="6"/>
    <x v="34"/>
    <n v="0"/>
  </r>
  <r>
    <n v="8"/>
    <s v="유지"/>
    <d v="2022-03-05T00:00:00"/>
    <d v="2026-03-31T00:00:00"/>
    <x v="4"/>
    <s v="500-600"/>
    <x v="0"/>
    <x v="6"/>
    <x v="35"/>
    <n v="0"/>
  </r>
  <r>
    <n v="8"/>
    <s v="유지"/>
    <d v="2022-03-05T00:00:00"/>
    <d v="2026-03-31T00:00:00"/>
    <x v="4"/>
    <s v="500-600"/>
    <x v="0"/>
    <x v="6"/>
    <x v="36"/>
    <n v="0"/>
  </r>
  <r>
    <n v="8"/>
    <s v="유지"/>
    <d v="2022-03-05T00:00:00"/>
    <d v="2026-03-31T00:00:00"/>
    <x v="4"/>
    <s v="500-600"/>
    <x v="0"/>
    <x v="6"/>
    <x v="37"/>
    <n v="0"/>
  </r>
  <r>
    <n v="8"/>
    <s v="유지"/>
    <d v="2022-03-05T00:00:00"/>
    <d v="2026-03-31T00:00:00"/>
    <x v="4"/>
    <s v="500-600"/>
    <x v="0"/>
    <x v="6"/>
    <x v="38"/>
    <n v="0"/>
  </r>
  <r>
    <n v="8"/>
    <s v="유지"/>
    <d v="2022-03-05T00:00:00"/>
    <d v="2026-03-31T00:00:00"/>
    <x v="4"/>
    <s v="500-600"/>
    <x v="0"/>
    <x v="6"/>
    <x v="39"/>
    <n v="0"/>
  </r>
  <r>
    <n v="8"/>
    <s v="유지"/>
    <d v="2022-03-05T00:00:00"/>
    <d v="2026-03-31T00:00:00"/>
    <x v="4"/>
    <s v="500-600"/>
    <x v="0"/>
    <x v="6"/>
    <x v="40"/>
    <n v="0"/>
  </r>
  <r>
    <n v="8"/>
    <s v="유지"/>
    <d v="2022-03-05T00:00:00"/>
    <d v="2026-03-31T00:00:00"/>
    <x v="4"/>
    <s v="500-600"/>
    <x v="0"/>
    <x v="6"/>
    <x v="41"/>
    <n v="0"/>
  </r>
  <r>
    <n v="8"/>
    <s v="유지"/>
    <d v="2022-03-05T00:00:00"/>
    <d v="2026-03-31T00:00:00"/>
    <x v="4"/>
    <s v="500-600"/>
    <x v="0"/>
    <x v="6"/>
    <x v="42"/>
    <n v="0"/>
  </r>
  <r>
    <n v="8"/>
    <s v="유지"/>
    <d v="2022-03-05T00:00:00"/>
    <d v="2026-03-31T00:00:00"/>
    <x v="4"/>
    <s v="500-600"/>
    <x v="0"/>
    <x v="6"/>
    <x v="43"/>
    <n v="0"/>
  </r>
  <r>
    <n v="8"/>
    <s v="유지"/>
    <d v="2022-03-05T00:00:00"/>
    <d v="2026-03-31T00:00:00"/>
    <x v="4"/>
    <s v="500-600"/>
    <x v="0"/>
    <x v="6"/>
    <x v="44"/>
    <n v="0"/>
  </r>
  <r>
    <n v="8"/>
    <s v="유지"/>
    <d v="2022-03-05T00:00:00"/>
    <d v="2026-03-31T00:00:00"/>
    <x v="4"/>
    <s v="500-600"/>
    <x v="0"/>
    <x v="6"/>
    <x v="45"/>
    <n v="0"/>
  </r>
  <r>
    <n v="8"/>
    <s v="유지"/>
    <d v="2022-03-05T00:00:00"/>
    <d v="2026-03-31T00:00:00"/>
    <x v="4"/>
    <s v="500-600"/>
    <x v="0"/>
    <x v="6"/>
    <x v="46"/>
    <n v="0"/>
  </r>
  <r>
    <n v="8"/>
    <s v="유지"/>
    <d v="2022-03-05T00:00:00"/>
    <d v="2026-03-31T00:00:00"/>
    <x v="4"/>
    <s v="500-600"/>
    <x v="0"/>
    <x v="6"/>
    <x v="47"/>
    <n v="0"/>
  </r>
  <r>
    <n v="8"/>
    <s v="유지"/>
    <d v="2022-03-05T00:00:00"/>
    <d v="2026-03-31T00:00:00"/>
    <x v="4"/>
    <s v="500-600"/>
    <x v="0"/>
    <x v="6"/>
    <x v="48"/>
    <n v="0"/>
  </r>
  <r>
    <n v="9"/>
    <s v="유지"/>
    <d v="2023-04-22T00:00:00"/>
    <d v="2026-03-31T00:00:00"/>
    <x v="0"/>
    <s v="100-200"/>
    <x v="0"/>
    <x v="7"/>
    <x v="0"/>
    <n v="0"/>
  </r>
  <r>
    <n v="9"/>
    <s v="유지"/>
    <d v="2023-04-22T00:00:00"/>
    <d v="2026-03-31T00:00:00"/>
    <x v="0"/>
    <s v="100-200"/>
    <x v="0"/>
    <x v="7"/>
    <x v="1"/>
    <n v="0"/>
  </r>
  <r>
    <n v="9"/>
    <s v="유지"/>
    <d v="2023-04-22T00:00:00"/>
    <d v="2026-03-31T00:00:00"/>
    <x v="0"/>
    <s v="100-200"/>
    <x v="0"/>
    <x v="7"/>
    <x v="2"/>
    <n v="0"/>
  </r>
  <r>
    <n v="9"/>
    <s v="유지"/>
    <d v="2023-04-22T00:00:00"/>
    <d v="2026-03-31T00:00:00"/>
    <x v="0"/>
    <s v="100-200"/>
    <x v="0"/>
    <x v="7"/>
    <x v="3"/>
    <n v="0"/>
  </r>
  <r>
    <n v="9"/>
    <s v="유지"/>
    <d v="2023-04-22T00:00:00"/>
    <d v="2026-03-31T00:00:00"/>
    <x v="0"/>
    <s v="100-200"/>
    <x v="0"/>
    <x v="7"/>
    <x v="4"/>
    <n v="0"/>
  </r>
  <r>
    <n v="9"/>
    <s v="유지"/>
    <d v="2023-04-22T00:00:00"/>
    <d v="2026-03-31T00:00:00"/>
    <x v="0"/>
    <s v="100-200"/>
    <x v="0"/>
    <x v="7"/>
    <x v="5"/>
    <n v="0"/>
  </r>
  <r>
    <n v="9"/>
    <s v="유지"/>
    <d v="2023-04-22T00:00:00"/>
    <d v="2026-03-31T00:00:00"/>
    <x v="0"/>
    <s v="100-200"/>
    <x v="0"/>
    <x v="7"/>
    <x v="6"/>
    <n v="0"/>
  </r>
  <r>
    <n v="9"/>
    <s v="유지"/>
    <d v="2023-04-22T00:00:00"/>
    <d v="2026-03-31T00:00:00"/>
    <x v="0"/>
    <s v="100-200"/>
    <x v="0"/>
    <x v="7"/>
    <x v="7"/>
    <n v="0"/>
  </r>
  <r>
    <n v="9"/>
    <s v="유지"/>
    <d v="2023-04-22T00:00:00"/>
    <d v="2026-03-31T00:00:00"/>
    <x v="0"/>
    <s v="100-200"/>
    <x v="0"/>
    <x v="7"/>
    <x v="8"/>
    <n v="0"/>
  </r>
  <r>
    <n v="9"/>
    <s v="유지"/>
    <d v="2023-04-22T00:00:00"/>
    <d v="2026-03-31T00:00:00"/>
    <x v="0"/>
    <s v="100-200"/>
    <x v="0"/>
    <x v="7"/>
    <x v="9"/>
    <n v="0"/>
  </r>
  <r>
    <n v="9"/>
    <s v="유지"/>
    <d v="2023-04-22T00:00:00"/>
    <d v="2026-03-31T00:00:00"/>
    <x v="0"/>
    <s v="100-200"/>
    <x v="0"/>
    <x v="7"/>
    <x v="10"/>
    <n v="0"/>
  </r>
  <r>
    <n v="9"/>
    <s v="유지"/>
    <d v="2023-04-22T00:00:00"/>
    <d v="2026-03-31T00:00:00"/>
    <x v="0"/>
    <s v="100-200"/>
    <x v="0"/>
    <x v="7"/>
    <x v="11"/>
    <n v="0"/>
  </r>
  <r>
    <n v="9"/>
    <s v="유지"/>
    <d v="2023-04-22T00:00:00"/>
    <d v="2026-03-31T00:00:00"/>
    <x v="0"/>
    <s v="100-200"/>
    <x v="0"/>
    <x v="7"/>
    <x v="12"/>
    <n v="0"/>
  </r>
  <r>
    <n v="9"/>
    <s v="유지"/>
    <d v="2023-04-22T00:00:00"/>
    <d v="2026-03-31T00:00:00"/>
    <x v="0"/>
    <s v="100-200"/>
    <x v="0"/>
    <x v="7"/>
    <x v="13"/>
    <n v="0"/>
  </r>
  <r>
    <n v="9"/>
    <s v="유지"/>
    <d v="2023-04-22T00:00:00"/>
    <d v="2026-03-31T00:00:00"/>
    <x v="0"/>
    <s v="100-200"/>
    <x v="0"/>
    <x v="7"/>
    <x v="14"/>
    <n v="0"/>
  </r>
  <r>
    <n v="9"/>
    <s v="유지"/>
    <d v="2023-04-22T00:00:00"/>
    <d v="2026-03-31T00:00:00"/>
    <x v="0"/>
    <s v="100-200"/>
    <x v="0"/>
    <x v="7"/>
    <x v="15"/>
    <n v="0"/>
  </r>
  <r>
    <n v="9"/>
    <s v="유지"/>
    <d v="2023-04-22T00:00:00"/>
    <d v="2026-03-31T00:00:00"/>
    <x v="0"/>
    <s v="100-200"/>
    <x v="0"/>
    <x v="7"/>
    <x v="16"/>
    <n v="0"/>
  </r>
  <r>
    <n v="9"/>
    <s v="유지"/>
    <d v="2023-04-22T00:00:00"/>
    <d v="2026-03-31T00:00:00"/>
    <x v="0"/>
    <s v="100-200"/>
    <x v="0"/>
    <x v="7"/>
    <x v="17"/>
    <n v="0"/>
  </r>
  <r>
    <n v="9"/>
    <s v="유지"/>
    <d v="2023-04-22T00:00:00"/>
    <d v="2026-03-31T00:00:00"/>
    <x v="0"/>
    <s v="100-200"/>
    <x v="0"/>
    <x v="7"/>
    <x v="18"/>
    <n v="0"/>
  </r>
  <r>
    <n v="9"/>
    <s v="유지"/>
    <d v="2023-04-22T00:00:00"/>
    <d v="2026-03-31T00:00:00"/>
    <x v="0"/>
    <s v="100-200"/>
    <x v="0"/>
    <x v="7"/>
    <x v="19"/>
    <n v="0"/>
  </r>
  <r>
    <n v="9"/>
    <s v="유지"/>
    <d v="2023-04-22T00:00:00"/>
    <d v="2026-03-31T00:00:00"/>
    <x v="0"/>
    <s v="100-200"/>
    <x v="0"/>
    <x v="7"/>
    <x v="20"/>
    <n v="0"/>
  </r>
  <r>
    <n v="9"/>
    <s v="유지"/>
    <d v="2023-04-22T00:00:00"/>
    <d v="2026-03-31T00:00:00"/>
    <x v="0"/>
    <s v="100-200"/>
    <x v="0"/>
    <x v="7"/>
    <x v="21"/>
    <n v="0"/>
  </r>
  <r>
    <n v="9"/>
    <s v="유지"/>
    <d v="2023-04-22T00:00:00"/>
    <d v="2026-03-31T00:00:00"/>
    <x v="0"/>
    <s v="100-200"/>
    <x v="0"/>
    <x v="7"/>
    <x v="22"/>
    <n v="0"/>
  </r>
  <r>
    <n v="9"/>
    <s v="유지"/>
    <d v="2023-04-22T00:00:00"/>
    <d v="2026-03-31T00:00:00"/>
    <x v="0"/>
    <s v="100-200"/>
    <x v="0"/>
    <x v="7"/>
    <x v="23"/>
    <n v="0"/>
  </r>
  <r>
    <n v="9"/>
    <s v="유지"/>
    <d v="2023-04-22T00:00:00"/>
    <d v="2026-03-31T00:00:00"/>
    <x v="0"/>
    <s v="100-200"/>
    <x v="0"/>
    <x v="7"/>
    <x v="24"/>
    <n v="0"/>
  </r>
  <r>
    <n v="9"/>
    <s v="유지"/>
    <d v="2023-04-22T00:00:00"/>
    <d v="2026-03-31T00:00:00"/>
    <x v="0"/>
    <s v="100-200"/>
    <x v="0"/>
    <x v="7"/>
    <x v="25"/>
    <n v="0"/>
  </r>
  <r>
    <n v="9"/>
    <s v="유지"/>
    <d v="2023-04-22T00:00:00"/>
    <d v="2026-03-31T00:00:00"/>
    <x v="0"/>
    <s v="100-200"/>
    <x v="0"/>
    <x v="7"/>
    <x v="26"/>
    <n v="0"/>
  </r>
  <r>
    <n v="9"/>
    <s v="유지"/>
    <d v="2023-04-22T00:00:00"/>
    <d v="2026-03-31T00:00:00"/>
    <x v="0"/>
    <s v="100-200"/>
    <x v="0"/>
    <x v="7"/>
    <x v="27"/>
    <n v="0"/>
  </r>
  <r>
    <n v="9"/>
    <s v="유지"/>
    <d v="2023-04-22T00:00:00"/>
    <d v="2026-03-31T00:00:00"/>
    <x v="0"/>
    <s v="100-200"/>
    <x v="0"/>
    <x v="7"/>
    <x v="28"/>
    <n v="0"/>
  </r>
  <r>
    <n v="9"/>
    <s v="유지"/>
    <d v="2023-04-22T00:00:00"/>
    <d v="2026-03-31T00:00:00"/>
    <x v="0"/>
    <s v="100-200"/>
    <x v="0"/>
    <x v="7"/>
    <x v="29"/>
    <n v="0"/>
  </r>
  <r>
    <n v="9"/>
    <s v="유지"/>
    <d v="2023-04-22T00:00:00"/>
    <d v="2026-03-31T00:00:00"/>
    <x v="0"/>
    <s v="100-200"/>
    <x v="0"/>
    <x v="7"/>
    <x v="30"/>
    <n v="0"/>
  </r>
  <r>
    <n v="9"/>
    <s v="유지"/>
    <d v="2023-04-22T00:00:00"/>
    <d v="2026-03-31T00:00:00"/>
    <x v="0"/>
    <s v="100-200"/>
    <x v="0"/>
    <x v="7"/>
    <x v="31"/>
    <n v="0"/>
  </r>
  <r>
    <n v="9"/>
    <s v="유지"/>
    <d v="2023-04-22T00:00:00"/>
    <d v="2026-03-31T00:00:00"/>
    <x v="0"/>
    <s v="100-200"/>
    <x v="0"/>
    <x v="7"/>
    <x v="32"/>
    <n v="0"/>
  </r>
  <r>
    <n v="9"/>
    <s v="유지"/>
    <d v="2023-04-22T00:00:00"/>
    <d v="2026-03-31T00:00:00"/>
    <x v="0"/>
    <s v="100-200"/>
    <x v="0"/>
    <x v="7"/>
    <x v="33"/>
    <n v="0"/>
  </r>
  <r>
    <n v="9"/>
    <s v="유지"/>
    <d v="2023-04-22T00:00:00"/>
    <d v="2026-03-31T00:00:00"/>
    <x v="0"/>
    <s v="100-200"/>
    <x v="0"/>
    <x v="7"/>
    <x v="34"/>
    <n v="0"/>
  </r>
  <r>
    <n v="9"/>
    <s v="유지"/>
    <d v="2023-04-22T00:00:00"/>
    <d v="2026-03-31T00:00:00"/>
    <x v="0"/>
    <s v="100-200"/>
    <x v="0"/>
    <x v="7"/>
    <x v="35"/>
    <n v="0"/>
  </r>
  <r>
    <n v="10"/>
    <s v="유지"/>
    <d v="2024-09-10T00:00:00"/>
    <d v="2026-03-31T00:00:00"/>
    <x v="4"/>
    <s v="100-200"/>
    <x v="1"/>
    <x v="8"/>
    <x v="0"/>
    <n v="0"/>
  </r>
  <r>
    <n v="10"/>
    <s v="유지"/>
    <d v="2024-09-10T00:00:00"/>
    <d v="2026-03-31T00:00:00"/>
    <x v="4"/>
    <s v="100-200"/>
    <x v="1"/>
    <x v="8"/>
    <x v="1"/>
    <n v="0"/>
  </r>
  <r>
    <n v="10"/>
    <s v="유지"/>
    <d v="2024-09-10T00:00:00"/>
    <d v="2026-03-31T00:00:00"/>
    <x v="4"/>
    <s v="100-200"/>
    <x v="1"/>
    <x v="8"/>
    <x v="2"/>
    <n v="0"/>
  </r>
  <r>
    <n v="10"/>
    <s v="유지"/>
    <d v="2024-09-10T00:00:00"/>
    <d v="2026-03-31T00:00:00"/>
    <x v="4"/>
    <s v="100-200"/>
    <x v="1"/>
    <x v="8"/>
    <x v="3"/>
    <n v="0"/>
  </r>
  <r>
    <n v="10"/>
    <s v="유지"/>
    <d v="2024-09-10T00:00:00"/>
    <d v="2026-03-31T00:00:00"/>
    <x v="4"/>
    <s v="100-200"/>
    <x v="1"/>
    <x v="8"/>
    <x v="4"/>
    <n v="0"/>
  </r>
  <r>
    <n v="10"/>
    <s v="유지"/>
    <d v="2024-09-10T00:00:00"/>
    <d v="2026-03-31T00:00:00"/>
    <x v="4"/>
    <s v="100-200"/>
    <x v="1"/>
    <x v="8"/>
    <x v="5"/>
    <n v="0"/>
  </r>
  <r>
    <n v="10"/>
    <s v="유지"/>
    <d v="2024-09-10T00:00:00"/>
    <d v="2026-03-31T00:00:00"/>
    <x v="4"/>
    <s v="100-200"/>
    <x v="1"/>
    <x v="8"/>
    <x v="6"/>
    <n v="0"/>
  </r>
  <r>
    <n v="10"/>
    <s v="유지"/>
    <d v="2024-09-10T00:00:00"/>
    <d v="2026-03-31T00:00:00"/>
    <x v="4"/>
    <s v="100-200"/>
    <x v="1"/>
    <x v="8"/>
    <x v="7"/>
    <n v="0"/>
  </r>
  <r>
    <n v="10"/>
    <s v="유지"/>
    <d v="2024-09-10T00:00:00"/>
    <d v="2026-03-31T00:00:00"/>
    <x v="4"/>
    <s v="100-200"/>
    <x v="1"/>
    <x v="8"/>
    <x v="8"/>
    <n v="0"/>
  </r>
  <r>
    <n v="10"/>
    <s v="유지"/>
    <d v="2024-09-10T00:00:00"/>
    <d v="2026-03-31T00:00:00"/>
    <x v="4"/>
    <s v="100-200"/>
    <x v="1"/>
    <x v="8"/>
    <x v="9"/>
    <n v="0"/>
  </r>
  <r>
    <n v="10"/>
    <s v="유지"/>
    <d v="2024-09-10T00:00:00"/>
    <d v="2026-03-31T00:00:00"/>
    <x v="4"/>
    <s v="100-200"/>
    <x v="1"/>
    <x v="8"/>
    <x v="10"/>
    <n v="0"/>
  </r>
  <r>
    <n v="10"/>
    <s v="유지"/>
    <d v="2024-09-10T00:00:00"/>
    <d v="2026-03-31T00:00:00"/>
    <x v="4"/>
    <s v="100-200"/>
    <x v="1"/>
    <x v="8"/>
    <x v="11"/>
    <n v="0"/>
  </r>
  <r>
    <n v="10"/>
    <s v="유지"/>
    <d v="2024-09-10T00:00:00"/>
    <d v="2026-03-31T00:00:00"/>
    <x v="4"/>
    <s v="100-200"/>
    <x v="1"/>
    <x v="8"/>
    <x v="12"/>
    <n v="0"/>
  </r>
  <r>
    <n v="10"/>
    <s v="유지"/>
    <d v="2024-09-10T00:00:00"/>
    <d v="2026-03-31T00:00:00"/>
    <x v="4"/>
    <s v="100-200"/>
    <x v="1"/>
    <x v="8"/>
    <x v="13"/>
    <n v="0"/>
  </r>
  <r>
    <n v="10"/>
    <s v="유지"/>
    <d v="2024-09-10T00:00:00"/>
    <d v="2026-03-31T00:00:00"/>
    <x v="4"/>
    <s v="100-200"/>
    <x v="1"/>
    <x v="8"/>
    <x v="14"/>
    <n v="0"/>
  </r>
  <r>
    <n v="10"/>
    <s v="유지"/>
    <d v="2024-09-10T00:00:00"/>
    <d v="2026-03-31T00:00:00"/>
    <x v="4"/>
    <s v="100-200"/>
    <x v="1"/>
    <x v="8"/>
    <x v="15"/>
    <n v="0"/>
  </r>
  <r>
    <n v="10"/>
    <s v="유지"/>
    <d v="2024-09-10T00:00:00"/>
    <d v="2026-03-31T00:00:00"/>
    <x v="4"/>
    <s v="100-200"/>
    <x v="1"/>
    <x v="8"/>
    <x v="16"/>
    <n v="0"/>
  </r>
  <r>
    <n v="10"/>
    <s v="유지"/>
    <d v="2024-09-10T00:00:00"/>
    <d v="2026-03-31T00:00:00"/>
    <x v="4"/>
    <s v="100-200"/>
    <x v="1"/>
    <x v="8"/>
    <x v="17"/>
    <n v="0"/>
  </r>
  <r>
    <n v="10"/>
    <s v="유지"/>
    <d v="2024-09-10T00:00:00"/>
    <d v="2026-03-31T00:00:00"/>
    <x v="4"/>
    <s v="100-200"/>
    <x v="1"/>
    <x v="8"/>
    <x v="1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3C40D2-809D-4AB2-A868-2F12453CDD3C}" name="피벗 테이블1" cacheId="3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G65" firstHeaderRow="1" firstDataRow="3" firstDataCol="1"/>
  <pivotFields count="10">
    <pivotField dataField="1" showAll="0"/>
    <pivotField showAll="0"/>
    <pivotField numFmtId="22" showAll="0"/>
    <pivotField numFmtId="22" showAll="0"/>
    <pivotField showAll="0">
      <items count="6">
        <item x="1"/>
        <item x="0"/>
        <item x="4"/>
        <item x="2"/>
        <item x="3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>
      <items count="10">
        <item x="5"/>
        <item x="8"/>
        <item x="4"/>
        <item x="2"/>
        <item x="7"/>
        <item x="3"/>
        <item x="6"/>
        <item x="0"/>
        <item x="1"/>
        <item t="default"/>
      </items>
    </pivotField>
    <pivotField axis="axisRow" showAll="0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dataField="1" showAll="0"/>
  </pivotFields>
  <rowFields count="1">
    <field x="8"/>
  </rowFields>
  <rowItems count="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Fields count="2">
    <field x="6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합계 : 계약자#" fld="0" baseField="0" baseItem="0"/>
    <dataField name="합계 : 이벤트" fld="9" baseField="0" baseItem="0"/>
  </dataFields>
  <formats count="1">
    <format dxfId="1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55DBF6-D406-424B-91EE-70813B21B604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계약자#" tableColumnId="1"/>
      <queryTableField id="2" name="계약상태" tableColumnId="2"/>
      <queryTableField id="3" name="청약일자" tableColumnId="3"/>
      <queryTableField id="4" name="상태일자" tableColumnId="4"/>
      <queryTableField id="5" name="연령그룹" tableColumnId="5"/>
      <queryTableField id="6" name="가입금액그룹" tableColumnId="6"/>
      <queryTableField id="7" name="설계사경유" tableColumnId="7"/>
      <queryTableField id="8" name="유지회차" tableColumnId="8"/>
      <queryTableField id="9" name="회차리스트" tableColumnId="9"/>
      <queryTableField id="10" dataBound="0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772284-A475-436A-BE29-CE6029F7B1A7}" name="표1" displayName="표1" ref="B2:I12" totalsRowShown="0" headerRowDxfId="18" dataDxfId="17">
  <autoFilter ref="B2:I12" xr:uid="{3E772284-A475-436A-BE29-CE6029F7B1A7}"/>
  <tableColumns count="8">
    <tableColumn id="1" xr3:uid="{5436BAA4-616F-4FEC-9A82-76415BEF5CDB}" name="계약자#" dataDxfId="16"/>
    <tableColumn id="2" xr3:uid="{59DE992C-7803-4011-A77F-D694646F3625}" name="계약상태" dataDxfId="15"/>
    <tableColumn id="3" xr3:uid="{E0028765-9E95-42D8-B08D-CE268DAE5FF7}" name="청약일자" dataDxfId="14"/>
    <tableColumn id="4" xr3:uid="{8E19AB87-F162-4040-9BB0-18C6502ED946}" name="상태일자" dataDxfId="13"/>
    <tableColumn id="5" xr3:uid="{7732768B-53B5-4B51-AE1C-25B23AE26CA1}" name="연령그룹" dataDxfId="12"/>
    <tableColumn id="6" xr3:uid="{6FEDE8D1-06D4-40F0-9D54-C549E3A7ED5E}" name="가입금액그룹" dataDxfId="11"/>
    <tableColumn id="7" xr3:uid="{4099F727-F161-434B-8E0A-448C80DD1035}" name="설계사경유" dataDxfId="10"/>
    <tableColumn id="8" xr3:uid="{70E1D4E3-7133-4DBD-8C33-7CAF87E49F62}" name="유지회차" dataDxfId="9">
      <calculatedColumnFormula>DATEDIF(EOMONTH(D3,0), EOMONTH(E3,0), "m") + 1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5225E0-C33B-4A04-B01B-6BF8D3B23BB8}" name="표1_" displayName="표1_" ref="A1:J379" tableType="queryTable" totalsRowShown="0">
  <autoFilter ref="A1:J379" xr:uid="{9E5225E0-C33B-4A04-B01B-6BF8D3B23BB8}"/>
  <tableColumns count="10">
    <tableColumn id="1" xr3:uid="{C5F2715A-B8C2-4B14-8B3A-83278F15D2D8}" uniqueName="1" name="계약자#" queryTableFieldId="1"/>
    <tableColumn id="2" xr3:uid="{076B58E7-61D2-4F3A-BDA7-1C0CEC660ED9}" uniqueName="2" name="계약상태" queryTableFieldId="2" dataDxfId="8"/>
    <tableColumn id="3" xr3:uid="{FCEEE920-FA28-4DAB-8609-91778E18415E}" uniqueName="3" name="청약일자" queryTableFieldId="3" dataDxfId="7"/>
    <tableColumn id="4" xr3:uid="{B5600221-D35F-49C1-AEC2-1A2C914FC3DB}" uniqueName="4" name="상태일자" queryTableFieldId="4" dataDxfId="6"/>
    <tableColumn id="5" xr3:uid="{A25E3C89-6B6D-4976-9200-0872502935D5}" uniqueName="5" name="연령그룹" queryTableFieldId="5" dataDxfId="5"/>
    <tableColumn id="6" xr3:uid="{0267C564-7491-4BD9-B82F-5BAD628DECCF}" uniqueName="6" name="가입금액그룹" queryTableFieldId="6" dataDxfId="4"/>
    <tableColumn id="7" xr3:uid="{7A37BA12-1234-4D15-AA1B-CDC954675F3A}" uniqueName="7" name="설계사경유" queryTableFieldId="7" dataDxfId="3"/>
    <tableColumn id="8" xr3:uid="{1455AFA9-361B-4471-B5F9-CCA6D3929AF4}" uniqueName="8" name="유지회차" queryTableFieldId="8"/>
    <tableColumn id="9" xr3:uid="{7E0DEDC2-4DD7-4E40-B487-D74B41B9063E}" uniqueName="9" name="회차리스트" queryTableFieldId="9"/>
    <tableColumn id="10" xr3:uid="{2267B508-FAC8-4016-A042-E351249E80CA}" uniqueName="10" name="이벤트" queryTableFieldId="10" dataDxfId="2">
      <calculatedColumnFormula>IF(AND(표1_[[#This Row],[유지회차]]=표1_[[#This Row],[회차리스트]], OR(B2="해지", B2="실효", B2="만기", B2="사망")), 1, 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8DD6C-D265-4243-82AD-08F398674552}">
  <dimension ref="B2:I12"/>
  <sheetViews>
    <sheetView workbookViewId="0">
      <selection activeCell="C5" activeCellId="3" sqref="B3:I3 B7:I7 B6:I6 B5:I5"/>
    </sheetView>
  </sheetViews>
  <sheetFormatPr defaultRowHeight="16.5" x14ac:dyDescent="0.3"/>
  <cols>
    <col min="2" max="2" width="9.5" customWidth="1"/>
    <col min="3" max="3" width="10.25" customWidth="1"/>
    <col min="4" max="5" width="11.125" bestFit="1" customWidth="1"/>
    <col min="6" max="6" width="10.25" customWidth="1"/>
    <col min="7" max="7" width="14" customWidth="1"/>
    <col min="8" max="8" width="12.125" customWidth="1"/>
    <col min="9" max="9" width="11.125" bestFit="1" customWidth="1"/>
  </cols>
  <sheetData>
    <row r="2" spans="2:9" x14ac:dyDescent="0.3">
      <c r="B2" s="1" t="s">
        <v>1</v>
      </c>
      <c r="C2" s="1" t="s">
        <v>3</v>
      </c>
      <c r="D2" s="1" t="s">
        <v>13</v>
      </c>
      <c r="E2" s="1" t="s">
        <v>15</v>
      </c>
      <c r="F2" s="1" t="s">
        <v>17</v>
      </c>
      <c r="G2" s="1" t="s">
        <v>19</v>
      </c>
      <c r="H2" s="1" t="s">
        <v>21</v>
      </c>
      <c r="I2" s="3" t="s">
        <v>47</v>
      </c>
    </row>
    <row r="3" spans="2:9" x14ac:dyDescent="0.3">
      <c r="B3" s="1">
        <v>1</v>
      </c>
      <c r="C3" s="1" t="s">
        <v>5</v>
      </c>
      <c r="D3" s="2">
        <v>43831</v>
      </c>
      <c r="E3" s="2">
        <v>45565</v>
      </c>
      <c r="F3" s="1" t="s">
        <v>23</v>
      </c>
      <c r="G3" s="1" t="s">
        <v>33</v>
      </c>
      <c r="H3" s="1" t="s">
        <v>43</v>
      </c>
      <c r="I3" s="4">
        <f>DATEDIF(EOMONTH(D3,0), EOMONTH(E3,0), "m") + 1</f>
        <v>56</v>
      </c>
    </row>
    <row r="4" spans="2:9" x14ac:dyDescent="0.3">
      <c r="B4" s="1">
        <v>2</v>
      </c>
      <c r="C4" s="1" t="s">
        <v>7</v>
      </c>
      <c r="D4" s="2">
        <v>44318</v>
      </c>
      <c r="E4" s="2">
        <v>46112</v>
      </c>
      <c r="F4" s="1" t="s">
        <v>25</v>
      </c>
      <c r="G4" s="1" t="s">
        <v>35</v>
      </c>
      <c r="H4" s="1" t="s">
        <v>45</v>
      </c>
      <c r="I4" s="4">
        <f t="shared" ref="I4:I12" si="0">DATEDIF(EOMONTH(D4,0), EOMONTH(E4,0), "m") + 1</f>
        <v>59</v>
      </c>
    </row>
    <row r="5" spans="2:9" x14ac:dyDescent="0.3">
      <c r="B5" s="1">
        <v>3</v>
      </c>
      <c r="C5" s="1" t="s">
        <v>5</v>
      </c>
      <c r="D5" s="2">
        <v>44961</v>
      </c>
      <c r="E5" s="2">
        <v>46019</v>
      </c>
      <c r="F5" s="1" t="s">
        <v>29</v>
      </c>
      <c r="G5" s="1" t="s">
        <v>33</v>
      </c>
      <c r="H5" s="1" t="s">
        <v>43</v>
      </c>
      <c r="I5" s="4">
        <f t="shared" si="0"/>
        <v>35</v>
      </c>
    </row>
    <row r="6" spans="2:9" x14ac:dyDescent="0.3">
      <c r="B6" s="1">
        <v>4</v>
      </c>
      <c r="C6" s="1" t="s">
        <v>9</v>
      </c>
      <c r="D6" s="2">
        <v>43952</v>
      </c>
      <c r="E6" s="2">
        <v>45366</v>
      </c>
      <c r="F6" s="1" t="s">
        <v>31</v>
      </c>
      <c r="G6" s="1" t="s">
        <v>37</v>
      </c>
      <c r="H6" s="1" t="s">
        <v>43</v>
      </c>
      <c r="I6" s="4">
        <f t="shared" si="0"/>
        <v>47</v>
      </c>
    </row>
    <row r="7" spans="2:9" x14ac:dyDescent="0.3">
      <c r="B7" s="1">
        <v>5</v>
      </c>
      <c r="C7" s="1" t="s">
        <v>11</v>
      </c>
      <c r="D7" s="2">
        <v>44720</v>
      </c>
      <c r="E7" s="2">
        <v>45775</v>
      </c>
      <c r="F7" s="1" t="s">
        <v>29</v>
      </c>
      <c r="G7" s="1" t="s">
        <v>39</v>
      </c>
      <c r="H7" s="1" t="s">
        <v>45</v>
      </c>
      <c r="I7" s="4">
        <f t="shared" si="0"/>
        <v>35</v>
      </c>
    </row>
    <row r="8" spans="2:9" x14ac:dyDescent="0.3">
      <c r="B8" s="1">
        <v>6</v>
      </c>
      <c r="C8" s="1" t="s">
        <v>7</v>
      </c>
      <c r="D8" s="2">
        <v>45319</v>
      </c>
      <c r="E8" s="2">
        <v>46112</v>
      </c>
      <c r="F8" s="1" t="s">
        <v>23</v>
      </c>
      <c r="G8" s="1" t="s">
        <v>35</v>
      </c>
      <c r="H8" s="1" t="s">
        <v>45</v>
      </c>
      <c r="I8" s="4">
        <f t="shared" si="0"/>
        <v>27</v>
      </c>
    </row>
    <row r="9" spans="2:9" x14ac:dyDescent="0.3">
      <c r="B9" s="1">
        <v>7</v>
      </c>
      <c r="C9" s="1" t="s">
        <v>7</v>
      </c>
      <c r="D9" s="2">
        <v>45658</v>
      </c>
      <c r="E9" s="2">
        <v>46112</v>
      </c>
      <c r="F9" s="1" t="s">
        <v>23</v>
      </c>
      <c r="G9" s="1" t="s">
        <v>33</v>
      </c>
      <c r="H9" s="1" t="s">
        <v>43</v>
      </c>
      <c r="I9" s="4">
        <f t="shared" si="0"/>
        <v>15</v>
      </c>
    </row>
    <row r="10" spans="2:9" x14ac:dyDescent="0.3">
      <c r="B10" s="1">
        <v>8</v>
      </c>
      <c r="C10" s="1" t="s">
        <v>7</v>
      </c>
      <c r="D10" s="2">
        <v>44625</v>
      </c>
      <c r="E10" s="2">
        <v>46112</v>
      </c>
      <c r="F10" s="1" t="s">
        <v>27</v>
      </c>
      <c r="G10" s="1" t="s">
        <v>41</v>
      </c>
      <c r="H10" s="1" t="s">
        <v>43</v>
      </c>
      <c r="I10" s="4">
        <f t="shared" si="0"/>
        <v>49</v>
      </c>
    </row>
    <row r="11" spans="2:9" x14ac:dyDescent="0.3">
      <c r="B11" s="1">
        <v>9</v>
      </c>
      <c r="C11" s="1" t="s">
        <v>7</v>
      </c>
      <c r="D11" s="2">
        <v>45038</v>
      </c>
      <c r="E11" s="2">
        <v>46112</v>
      </c>
      <c r="F11" s="1" t="s">
        <v>23</v>
      </c>
      <c r="G11" s="1" t="s">
        <v>33</v>
      </c>
      <c r="H11" s="1" t="s">
        <v>43</v>
      </c>
      <c r="I11" s="4">
        <f t="shared" si="0"/>
        <v>36</v>
      </c>
    </row>
    <row r="12" spans="2:9" x14ac:dyDescent="0.3">
      <c r="B12" s="1">
        <v>10</v>
      </c>
      <c r="C12" s="1" t="s">
        <v>7</v>
      </c>
      <c r="D12" s="2">
        <v>45545</v>
      </c>
      <c r="E12" s="2">
        <v>46112</v>
      </c>
      <c r="F12" s="1" t="s">
        <v>27</v>
      </c>
      <c r="G12" s="1" t="s">
        <v>33</v>
      </c>
      <c r="H12" s="1" t="s">
        <v>45</v>
      </c>
      <c r="I12" s="4">
        <f t="shared" si="0"/>
        <v>19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F3892-5C8B-443C-AD5B-1312260B256B}">
  <dimension ref="A1:J379"/>
  <sheetViews>
    <sheetView workbookViewId="0">
      <selection activeCell="J3" sqref="J3"/>
    </sheetView>
  </sheetViews>
  <sheetFormatPr defaultRowHeight="16.5" x14ac:dyDescent="0.3"/>
  <cols>
    <col min="1" max="1" width="10.5" bestFit="1" customWidth="1"/>
    <col min="2" max="2" width="11.25" bestFit="1" customWidth="1"/>
    <col min="3" max="4" width="15.5" bestFit="1" customWidth="1"/>
    <col min="5" max="5" width="11.25" bestFit="1" customWidth="1"/>
    <col min="6" max="6" width="15.25" bestFit="1" customWidth="1"/>
    <col min="7" max="7" width="13.25" bestFit="1" customWidth="1"/>
    <col min="8" max="8" width="11.25" bestFit="1" customWidth="1"/>
    <col min="9" max="10" width="13.25" bestFit="1" customWidth="1"/>
  </cols>
  <sheetData>
    <row r="1" spans="1:10" x14ac:dyDescent="0.3">
      <c r="A1" t="s">
        <v>0</v>
      </c>
      <c r="B1" t="s">
        <v>2</v>
      </c>
      <c r="C1" t="s">
        <v>12</v>
      </c>
      <c r="D1" t="s">
        <v>14</v>
      </c>
      <c r="E1" t="s">
        <v>16</v>
      </c>
      <c r="F1" t="s">
        <v>18</v>
      </c>
      <c r="G1" t="s">
        <v>20</v>
      </c>
      <c r="H1" t="s">
        <v>46</v>
      </c>
      <c r="I1" t="s">
        <v>48</v>
      </c>
      <c r="J1" t="s">
        <v>49</v>
      </c>
    </row>
    <row r="2" spans="1:10" x14ac:dyDescent="0.3">
      <c r="A2">
        <v>1</v>
      </c>
      <c r="B2" t="s">
        <v>4</v>
      </c>
      <c r="C2" s="5">
        <v>43831</v>
      </c>
      <c r="D2" s="5">
        <v>45565</v>
      </c>
      <c r="E2" t="s">
        <v>22</v>
      </c>
      <c r="F2" t="s">
        <v>32</v>
      </c>
      <c r="G2" t="s">
        <v>42</v>
      </c>
      <c r="H2">
        <v>56</v>
      </c>
      <c r="I2">
        <v>1</v>
      </c>
      <c r="J2">
        <f>IF(AND(표1_[[#This Row],[유지회차]]=표1_[[#This Row],[회차리스트]], OR(B2="해지", B2="실효", B2="만기", B2="사망")), 1, 0)</f>
        <v>0</v>
      </c>
    </row>
    <row r="3" spans="1:10" x14ac:dyDescent="0.3">
      <c r="A3">
        <v>1</v>
      </c>
      <c r="B3" t="s">
        <v>4</v>
      </c>
      <c r="C3" s="5">
        <v>43831</v>
      </c>
      <c r="D3" s="5">
        <v>45565</v>
      </c>
      <c r="E3" t="s">
        <v>22</v>
      </c>
      <c r="F3" t="s">
        <v>32</v>
      </c>
      <c r="G3" t="s">
        <v>42</v>
      </c>
      <c r="H3">
        <v>56</v>
      </c>
      <c r="I3">
        <v>2</v>
      </c>
      <c r="J3">
        <f>IF(AND(표1_[[#This Row],[유지회차]]=표1_[[#This Row],[회차리스트]], OR(B3="해지", B3="실효", B3="만기", B3="사망")), 1, 0)</f>
        <v>0</v>
      </c>
    </row>
    <row r="4" spans="1:10" x14ac:dyDescent="0.3">
      <c r="A4">
        <v>1</v>
      </c>
      <c r="B4" t="s">
        <v>4</v>
      </c>
      <c r="C4" s="5">
        <v>43831</v>
      </c>
      <c r="D4" s="5">
        <v>45565</v>
      </c>
      <c r="E4" t="s">
        <v>22</v>
      </c>
      <c r="F4" t="s">
        <v>32</v>
      </c>
      <c r="G4" t="s">
        <v>42</v>
      </c>
      <c r="H4">
        <v>56</v>
      </c>
      <c r="I4">
        <v>3</v>
      </c>
      <c r="J4">
        <f>IF(AND(표1_[[#This Row],[유지회차]]=표1_[[#This Row],[회차리스트]], OR(B4="해지", B4="실효", B4="만기", B4="사망")), 1, 0)</f>
        <v>0</v>
      </c>
    </row>
    <row r="5" spans="1:10" x14ac:dyDescent="0.3">
      <c r="A5">
        <v>1</v>
      </c>
      <c r="B5" t="s">
        <v>4</v>
      </c>
      <c r="C5" s="5">
        <v>43831</v>
      </c>
      <c r="D5" s="5">
        <v>45565</v>
      </c>
      <c r="E5" t="s">
        <v>22</v>
      </c>
      <c r="F5" t="s">
        <v>32</v>
      </c>
      <c r="G5" t="s">
        <v>42</v>
      </c>
      <c r="H5">
        <v>56</v>
      </c>
      <c r="I5">
        <v>4</v>
      </c>
      <c r="J5">
        <f>IF(AND(표1_[[#This Row],[유지회차]]=표1_[[#This Row],[회차리스트]], OR(B5="해지", B5="실효", B5="만기", B5="사망")), 1, 0)</f>
        <v>0</v>
      </c>
    </row>
    <row r="6" spans="1:10" x14ac:dyDescent="0.3">
      <c r="A6">
        <v>1</v>
      </c>
      <c r="B6" t="s">
        <v>4</v>
      </c>
      <c r="C6" s="5">
        <v>43831</v>
      </c>
      <c r="D6" s="5">
        <v>45565</v>
      </c>
      <c r="E6" t="s">
        <v>22</v>
      </c>
      <c r="F6" t="s">
        <v>32</v>
      </c>
      <c r="G6" t="s">
        <v>42</v>
      </c>
      <c r="H6">
        <v>56</v>
      </c>
      <c r="I6">
        <v>5</v>
      </c>
      <c r="J6">
        <f>IF(AND(표1_[[#This Row],[유지회차]]=표1_[[#This Row],[회차리스트]], OR(B6="해지", B6="실효", B6="만기", B6="사망")), 1, 0)</f>
        <v>0</v>
      </c>
    </row>
    <row r="7" spans="1:10" x14ac:dyDescent="0.3">
      <c r="A7">
        <v>1</v>
      </c>
      <c r="B7" t="s">
        <v>4</v>
      </c>
      <c r="C7" s="5">
        <v>43831</v>
      </c>
      <c r="D7" s="5">
        <v>45565</v>
      </c>
      <c r="E7" t="s">
        <v>22</v>
      </c>
      <c r="F7" t="s">
        <v>32</v>
      </c>
      <c r="G7" t="s">
        <v>42</v>
      </c>
      <c r="H7">
        <v>56</v>
      </c>
      <c r="I7">
        <v>6</v>
      </c>
      <c r="J7">
        <f>IF(AND(표1_[[#This Row],[유지회차]]=표1_[[#This Row],[회차리스트]], OR(B7="해지", B7="실효", B7="만기", B7="사망")), 1, 0)</f>
        <v>0</v>
      </c>
    </row>
    <row r="8" spans="1:10" x14ac:dyDescent="0.3">
      <c r="A8">
        <v>1</v>
      </c>
      <c r="B8" t="s">
        <v>4</v>
      </c>
      <c r="C8" s="5">
        <v>43831</v>
      </c>
      <c r="D8" s="5">
        <v>45565</v>
      </c>
      <c r="E8" t="s">
        <v>22</v>
      </c>
      <c r="F8" t="s">
        <v>32</v>
      </c>
      <c r="G8" t="s">
        <v>42</v>
      </c>
      <c r="H8">
        <v>56</v>
      </c>
      <c r="I8">
        <v>7</v>
      </c>
      <c r="J8">
        <f>IF(AND(표1_[[#This Row],[유지회차]]=표1_[[#This Row],[회차리스트]], OR(B8="해지", B8="실효", B8="만기", B8="사망")), 1, 0)</f>
        <v>0</v>
      </c>
    </row>
    <row r="9" spans="1:10" x14ac:dyDescent="0.3">
      <c r="A9">
        <v>1</v>
      </c>
      <c r="B9" t="s">
        <v>4</v>
      </c>
      <c r="C9" s="5">
        <v>43831</v>
      </c>
      <c r="D9" s="5">
        <v>45565</v>
      </c>
      <c r="E9" t="s">
        <v>22</v>
      </c>
      <c r="F9" t="s">
        <v>32</v>
      </c>
      <c r="G9" t="s">
        <v>42</v>
      </c>
      <c r="H9">
        <v>56</v>
      </c>
      <c r="I9">
        <v>8</v>
      </c>
      <c r="J9">
        <f>IF(AND(표1_[[#This Row],[유지회차]]=표1_[[#This Row],[회차리스트]], OR(B9="해지", B9="실효", B9="만기", B9="사망")), 1, 0)</f>
        <v>0</v>
      </c>
    </row>
    <row r="10" spans="1:10" x14ac:dyDescent="0.3">
      <c r="A10">
        <v>1</v>
      </c>
      <c r="B10" t="s">
        <v>4</v>
      </c>
      <c r="C10" s="5">
        <v>43831</v>
      </c>
      <c r="D10" s="5">
        <v>45565</v>
      </c>
      <c r="E10" t="s">
        <v>22</v>
      </c>
      <c r="F10" t="s">
        <v>32</v>
      </c>
      <c r="G10" t="s">
        <v>42</v>
      </c>
      <c r="H10">
        <v>56</v>
      </c>
      <c r="I10">
        <v>9</v>
      </c>
      <c r="J10">
        <f>IF(AND(표1_[[#This Row],[유지회차]]=표1_[[#This Row],[회차리스트]], OR(B10="해지", B10="실효", B10="만기", B10="사망")), 1, 0)</f>
        <v>0</v>
      </c>
    </row>
    <row r="11" spans="1:10" x14ac:dyDescent="0.3">
      <c r="A11">
        <v>1</v>
      </c>
      <c r="B11" t="s">
        <v>4</v>
      </c>
      <c r="C11" s="5">
        <v>43831</v>
      </c>
      <c r="D11" s="5">
        <v>45565</v>
      </c>
      <c r="E11" t="s">
        <v>22</v>
      </c>
      <c r="F11" t="s">
        <v>32</v>
      </c>
      <c r="G11" t="s">
        <v>42</v>
      </c>
      <c r="H11">
        <v>56</v>
      </c>
      <c r="I11">
        <v>10</v>
      </c>
      <c r="J11">
        <f>IF(AND(표1_[[#This Row],[유지회차]]=표1_[[#This Row],[회차리스트]], OR(B11="해지", B11="실효", B11="만기", B11="사망")), 1, 0)</f>
        <v>0</v>
      </c>
    </row>
    <row r="12" spans="1:10" x14ac:dyDescent="0.3">
      <c r="A12">
        <v>1</v>
      </c>
      <c r="B12" t="s">
        <v>4</v>
      </c>
      <c r="C12" s="5">
        <v>43831</v>
      </c>
      <c r="D12" s="5">
        <v>45565</v>
      </c>
      <c r="E12" t="s">
        <v>22</v>
      </c>
      <c r="F12" t="s">
        <v>32</v>
      </c>
      <c r="G12" t="s">
        <v>42</v>
      </c>
      <c r="H12">
        <v>56</v>
      </c>
      <c r="I12">
        <v>11</v>
      </c>
      <c r="J12">
        <f>IF(AND(표1_[[#This Row],[유지회차]]=표1_[[#This Row],[회차리스트]], OR(B12="해지", B12="실효", B12="만기", B12="사망")), 1, 0)</f>
        <v>0</v>
      </c>
    </row>
    <row r="13" spans="1:10" x14ac:dyDescent="0.3">
      <c r="A13">
        <v>1</v>
      </c>
      <c r="B13" t="s">
        <v>4</v>
      </c>
      <c r="C13" s="5">
        <v>43831</v>
      </c>
      <c r="D13" s="5">
        <v>45565</v>
      </c>
      <c r="E13" t="s">
        <v>22</v>
      </c>
      <c r="F13" t="s">
        <v>32</v>
      </c>
      <c r="G13" t="s">
        <v>42</v>
      </c>
      <c r="H13">
        <v>56</v>
      </c>
      <c r="I13">
        <v>12</v>
      </c>
      <c r="J13">
        <f>IF(AND(표1_[[#This Row],[유지회차]]=표1_[[#This Row],[회차리스트]], OR(B13="해지", B13="실효", B13="만기", B13="사망")), 1, 0)</f>
        <v>0</v>
      </c>
    </row>
    <row r="14" spans="1:10" x14ac:dyDescent="0.3">
      <c r="A14">
        <v>1</v>
      </c>
      <c r="B14" t="s">
        <v>4</v>
      </c>
      <c r="C14" s="5">
        <v>43831</v>
      </c>
      <c r="D14" s="5">
        <v>45565</v>
      </c>
      <c r="E14" t="s">
        <v>22</v>
      </c>
      <c r="F14" t="s">
        <v>32</v>
      </c>
      <c r="G14" t="s">
        <v>42</v>
      </c>
      <c r="H14">
        <v>56</v>
      </c>
      <c r="I14">
        <v>13</v>
      </c>
      <c r="J14">
        <f>IF(AND(표1_[[#This Row],[유지회차]]=표1_[[#This Row],[회차리스트]], OR(B14="해지", B14="실효", B14="만기", B14="사망")), 1, 0)</f>
        <v>0</v>
      </c>
    </row>
    <row r="15" spans="1:10" x14ac:dyDescent="0.3">
      <c r="A15">
        <v>1</v>
      </c>
      <c r="B15" t="s">
        <v>4</v>
      </c>
      <c r="C15" s="5">
        <v>43831</v>
      </c>
      <c r="D15" s="5">
        <v>45565</v>
      </c>
      <c r="E15" t="s">
        <v>22</v>
      </c>
      <c r="F15" t="s">
        <v>32</v>
      </c>
      <c r="G15" t="s">
        <v>42</v>
      </c>
      <c r="H15">
        <v>56</v>
      </c>
      <c r="I15">
        <v>14</v>
      </c>
      <c r="J15">
        <f>IF(AND(표1_[[#This Row],[유지회차]]=표1_[[#This Row],[회차리스트]], OR(B15="해지", B15="실효", B15="만기", B15="사망")), 1, 0)</f>
        <v>0</v>
      </c>
    </row>
    <row r="16" spans="1:10" x14ac:dyDescent="0.3">
      <c r="A16">
        <v>1</v>
      </c>
      <c r="B16" t="s">
        <v>4</v>
      </c>
      <c r="C16" s="5">
        <v>43831</v>
      </c>
      <c r="D16" s="5">
        <v>45565</v>
      </c>
      <c r="E16" t="s">
        <v>22</v>
      </c>
      <c r="F16" t="s">
        <v>32</v>
      </c>
      <c r="G16" t="s">
        <v>42</v>
      </c>
      <c r="H16">
        <v>56</v>
      </c>
      <c r="I16">
        <v>15</v>
      </c>
      <c r="J16">
        <f>IF(AND(표1_[[#This Row],[유지회차]]=표1_[[#This Row],[회차리스트]], OR(B16="해지", B16="실효", B16="만기", B16="사망")), 1, 0)</f>
        <v>0</v>
      </c>
    </row>
    <row r="17" spans="1:10" x14ac:dyDescent="0.3">
      <c r="A17">
        <v>1</v>
      </c>
      <c r="B17" t="s">
        <v>4</v>
      </c>
      <c r="C17" s="5">
        <v>43831</v>
      </c>
      <c r="D17" s="5">
        <v>45565</v>
      </c>
      <c r="E17" t="s">
        <v>22</v>
      </c>
      <c r="F17" t="s">
        <v>32</v>
      </c>
      <c r="G17" t="s">
        <v>42</v>
      </c>
      <c r="H17">
        <v>56</v>
      </c>
      <c r="I17">
        <v>16</v>
      </c>
      <c r="J17">
        <f>IF(AND(표1_[[#This Row],[유지회차]]=표1_[[#This Row],[회차리스트]], OR(B17="해지", B17="실효", B17="만기", B17="사망")), 1, 0)</f>
        <v>0</v>
      </c>
    </row>
    <row r="18" spans="1:10" x14ac:dyDescent="0.3">
      <c r="A18">
        <v>1</v>
      </c>
      <c r="B18" t="s">
        <v>4</v>
      </c>
      <c r="C18" s="5">
        <v>43831</v>
      </c>
      <c r="D18" s="5">
        <v>45565</v>
      </c>
      <c r="E18" t="s">
        <v>22</v>
      </c>
      <c r="F18" t="s">
        <v>32</v>
      </c>
      <c r="G18" t="s">
        <v>42</v>
      </c>
      <c r="H18">
        <v>56</v>
      </c>
      <c r="I18">
        <v>17</v>
      </c>
      <c r="J18">
        <f>IF(AND(표1_[[#This Row],[유지회차]]=표1_[[#This Row],[회차리스트]], OR(B18="해지", B18="실효", B18="만기", B18="사망")), 1, 0)</f>
        <v>0</v>
      </c>
    </row>
    <row r="19" spans="1:10" x14ac:dyDescent="0.3">
      <c r="A19">
        <v>1</v>
      </c>
      <c r="B19" t="s">
        <v>4</v>
      </c>
      <c r="C19" s="5">
        <v>43831</v>
      </c>
      <c r="D19" s="5">
        <v>45565</v>
      </c>
      <c r="E19" t="s">
        <v>22</v>
      </c>
      <c r="F19" t="s">
        <v>32</v>
      </c>
      <c r="G19" t="s">
        <v>42</v>
      </c>
      <c r="H19">
        <v>56</v>
      </c>
      <c r="I19">
        <v>18</v>
      </c>
      <c r="J19">
        <f>IF(AND(표1_[[#This Row],[유지회차]]=표1_[[#This Row],[회차리스트]], OR(B19="해지", B19="실효", B19="만기", B19="사망")), 1, 0)</f>
        <v>0</v>
      </c>
    </row>
    <row r="20" spans="1:10" x14ac:dyDescent="0.3">
      <c r="A20">
        <v>1</v>
      </c>
      <c r="B20" t="s">
        <v>4</v>
      </c>
      <c r="C20" s="5">
        <v>43831</v>
      </c>
      <c r="D20" s="5">
        <v>45565</v>
      </c>
      <c r="E20" t="s">
        <v>22</v>
      </c>
      <c r="F20" t="s">
        <v>32</v>
      </c>
      <c r="G20" t="s">
        <v>42</v>
      </c>
      <c r="H20">
        <v>56</v>
      </c>
      <c r="I20">
        <v>19</v>
      </c>
      <c r="J20">
        <f>IF(AND(표1_[[#This Row],[유지회차]]=표1_[[#This Row],[회차리스트]], OR(B20="해지", B20="실효", B20="만기", B20="사망")), 1, 0)</f>
        <v>0</v>
      </c>
    </row>
    <row r="21" spans="1:10" x14ac:dyDescent="0.3">
      <c r="A21">
        <v>1</v>
      </c>
      <c r="B21" t="s">
        <v>4</v>
      </c>
      <c r="C21" s="5">
        <v>43831</v>
      </c>
      <c r="D21" s="5">
        <v>45565</v>
      </c>
      <c r="E21" t="s">
        <v>22</v>
      </c>
      <c r="F21" t="s">
        <v>32</v>
      </c>
      <c r="G21" t="s">
        <v>42</v>
      </c>
      <c r="H21">
        <v>56</v>
      </c>
      <c r="I21">
        <v>20</v>
      </c>
      <c r="J21">
        <f>IF(AND(표1_[[#This Row],[유지회차]]=표1_[[#This Row],[회차리스트]], OR(B21="해지", B21="실효", B21="만기", B21="사망")), 1, 0)</f>
        <v>0</v>
      </c>
    </row>
    <row r="22" spans="1:10" x14ac:dyDescent="0.3">
      <c r="A22">
        <v>1</v>
      </c>
      <c r="B22" t="s">
        <v>4</v>
      </c>
      <c r="C22" s="5">
        <v>43831</v>
      </c>
      <c r="D22" s="5">
        <v>45565</v>
      </c>
      <c r="E22" t="s">
        <v>22</v>
      </c>
      <c r="F22" t="s">
        <v>32</v>
      </c>
      <c r="G22" t="s">
        <v>42</v>
      </c>
      <c r="H22">
        <v>56</v>
      </c>
      <c r="I22">
        <v>21</v>
      </c>
      <c r="J22">
        <f>IF(AND(표1_[[#This Row],[유지회차]]=표1_[[#This Row],[회차리스트]], OR(B22="해지", B22="실효", B22="만기", B22="사망")), 1, 0)</f>
        <v>0</v>
      </c>
    </row>
    <row r="23" spans="1:10" x14ac:dyDescent="0.3">
      <c r="A23">
        <v>1</v>
      </c>
      <c r="B23" t="s">
        <v>4</v>
      </c>
      <c r="C23" s="5">
        <v>43831</v>
      </c>
      <c r="D23" s="5">
        <v>45565</v>
      </c>
      <c r="E23" t="s">
        <v>22</v>
      </c>
      <c r="F23" t="s">
        <v>32</v>
      </c>
      <c r="G23" t="s">
        <v>42</v>
      </c>
      <c r="H23">
        <v>56</v>
      </c>
      <c r="I23">
        <v>22</v>
      </c>
      <c r="J23">
        <f>IF(AND(표1_[[#This Row],[유지회차]]=표1_[[#This Row],[회차리스트]], OR(B23="해지", B23="실효", B23="만기", B23="사망")), 1, 0)</f>
        <v>0</v>
      </c>
    </row>
    <row r="24" spans="1:10" x14ac:dyDescent="0.3">
      <c r="A24">
        <v>1</v>
      </c>
      <c r="B24" t="s">
        <v>4</v>
      </c>
      <c r="C24" s="5">
        <v>43831</v>
      </c>
      <c r="D24" s="5">
        <v>45565</v>
      </c>
      <c r="E24" t="s">
        <v>22</v>
      </c>
      <c r="F24" t="s">
        <v>32</v>
      </c>
      <c r="G24" t="s">
        <v>42</v>
      </c>
      <c r="H24">
        <v>56</v>
      </c>
      <c r="I24">
        <v>23</v>
      </c>
      <c r="J24">
        <f>IF(AND(표1_[[#This Row],[유지회차]]=표1_[[#This Row],[회차리스트]], OR(B24="해지", B24="실효", B24="만기", B24="사망")), 1, 0)</f>
        <v>0</v>
      </c>
    </row>
    <row r="25" spans="1:10" x14ac:dyDescent="0.3">
      <c r="A25">
        <v>1</v>
      </c>
      <c r="B25" t="s">
        <v>4</v>
      </c>
      <c r="C25" s="5">
        <v>43831</v>
      </c>
      <c r="D25" s="5">
        <v>45565</v>
      </c>
      <c r="E25" t="s">
        <v>22</v>
      </c>
      <c r="F25" t="s">
        <v>32</v>
      </c>
      <c r="G25" t="s">
        <v>42</v>
      </c>
      <c r="H25">
        <v>56</v>
      </c>
      <c r="I25">
        <v>24</v>
      </c>
      <c r="J25">
        <f>IF(AND(표1_[[#This Row],[유지회차]]=표1_[[#This Row],[회차리스트]], OR(B25="해지", B25="실효", B25="만기", B25="사망")), 1, 0)</f>
        <v>0</v>
      </c>
    </row>
    <row r="26" spans="1:10" x14ac:dyDescent="0.3">
      <c r="A26">
        <v>1</v>
      </c>
      <c r="B26" t="s">
        <v>4</v>
      </c>
      <c r="C26" s="5">
        <v>43831</v>
      </c>
      <c r="D26" s="5">
        <v>45565</v>
      </c>
      <c r="E26" t="s">
        <v>22</v>
      </c>
      <c r="F26" t="s">
        <v>32</v>
      </c>
      <c r="G26" t="s">
        <v>42</v>
      </c>
      <c r="H26">
        <v>56</v>
      </c>
      <c r="I26">
        <v>25</v>
      </c>
      <c r="J26">
        <f>IF(AND(표1_[[#This Row],[유지회차]]=표1_[[#This Row],[회차리스트]], OR(B26="해지", B26="실효", B26="만기", B26="사망")), 1, 0)</f>
        <v>0</v>
      </c>
    </row>
    <row r="27" spans="1:10" x14ac:dyDescent="0.3">
      <c r="A27">
        <v>1</v>
      </c>
      <c r="B27" t="s">
        <v>4</v>
      </c>
      <c r="C27" s="5">
        <v>43831</v>
      </c>
      <c r="D27" s="5">
        <v>45565</v>
      </c>
      <c r="E27" t="s">
        <v>22</v>
      </c>
      <c r="F27" t="s">
        <v>32</v>
      </c>
      <c r="G27" t="s">
        <v>42</v>
      </c>
      <c r="H27">
        <v>56</v>
      </c>
      <c r="I27">
        <v>26</v>
      </c>
      <c r="J27">
        <f>IF(AND(표1_[[#This Row],[유지회차]]=표1_[[#This Row],[회차리스트]], OR(B27="해지", B27="실효", B27="만기", B27="사망")), 1, 0)</f>
        <v>0</v>
      </c>
    </row>
    <row r="28" spans="1:10" x14ac:dyDescent="0.3">
      <c r="A28">
        <v>1</v>
      </c>
      <c r="B28" t="s">
        <v>4</v>
      </c>
      <c r="C28" s="5">
        <v>43831</v>
      </c>
      <c r="D28" s="5">
        <v>45565</v>
      </c>
      <c r="E28" t="s">
        <v>22</v>
      </c>
      <c r="F28" t="s">
        <v>32</v>
      </c>
      <c r="G28" t="s">
        <v>42</v>
      </c>
      <c r="H28">
        <v>56</v>
      </c>
      <c r="I28">
        <v>27</v>
      </c>
      <c r="J28">
        <f>IF(AND(표1_[[#This Row],[유지회차]]=표1_[[#This Row],[회차리스트]], OR(B28="해지", B28="실효", B28="만기", B28="사망")), 1, 0)</f>
        <v>0</v>
      </c>
    </row>
    <row r="29" spans="1:10" x14ac:dyDescent="0.3">
      <c r="A29">
        <v>1</v>
      </c>
      <c r="B29" t="s">
        <v>4</v>
      </c>
      <c r="C29" s="5">
        <v>43831</v>
      </c>
      <c r="D29" s="5">
        <v>45565</v>
      </c>
      <c r="E29" t="s">
        <v>22</v>
      </c>
      <c r="F29" t="s">
        <v>32</v>
      </c>
      <c r="G29" t="s">
        <v>42</v>
      </c>
      <c r="H29">
        <v>56</v>
      </c>
      <c r="I29">
        <v>28</v>
      </c>
      <c r="J29">
        <f>IF(AND(표1_[[#This Row],[유지회차]]=표1_[[#This Row],[회차리스트]], OR(B29="해지", B29="실효", B29="만기", B29="사망")), 1, 0)</f>
        <v>0</v>
      </c>
    </row>
    <row r="30" spans="1:10" x14ac:dyDescent="0.3">
      <c r="A30">
        <v>1</v>
      </c>
      <c r="B30" t="s">
        <v>4</v>
      </c>
      <c r="C30" s="5">
        <v>43831</v>
      </c>
      <c r="D30" s="5">
        <v>45565</v>
      </c>
      <c r="E30" t="s">
        <v>22</v>
      </c>
      <c r="F30" t="s">
        <v>32</v>
      </c>
      <c r="G30" t="s">
        <v>42</v>
      </c>
      <c r="H30">
        <v>56</v>
      </c>
      <c r="I30">
        <v>29</v>
      </c>
      <c r="J30">
        <f>IF(AND(표1_[[#This Row],[유지회차]]=표1_[[#This Row],[회차리스트]], OR(B30="해지", B30="실효", B30="만기", B30="사망")), 1, 0)</f>
        <v>0</v>
      </c>
    </row>
    <row r="31" spans="1:10" x14ac:dyDescent="0.3">
      <c r="A31">
        <v>1</v>
      </c>
      <c r="B31" t="s">
        <v>4</v>
      </c>
      <c r="C31" s="5">
        <v>43831</v>
      </c>
      <c r="D31" s="5">
        <v>45565</v>
      </c>
      <c r="E31" t="s">
        <v>22</v>
      </c>
      <c r="F31" t="s">
        <v>32</v>
      </c>
      <c r="G31" t="s">
        <v>42</v>
      </c>
      <c r="H31">
        <v>56</v>
      </c>
      <c r="I31">
        <v>30</v>
      </c>
      <c r="J31">
        <f>IF(AND(표1_[[#This Row],[유지회차]]=표1_[[#This Row],[회차리스트]], OR(B31="해지", B31="실효", B31="만기", B31="사망")), 1, 0)</f>
        <v>0</v>
      </c>
    </row>
    <row r="32" spans="1:10" x14ac:dyDescent="0.3">
      <c r="A32">
        <v>1</v>
      </c>
      <c r="B32" t="s">
        <v>4</v>
      </c>
      <c r="C32" s="5">
        <v>43831</v>
      </c>
      <c r="D32" s="5">
        <v>45565</v>
      </c>
      <c r="E32" t="s">
        <v>22</v>
      </c>
      <c r="F32" t="s">
        <v>32</v>
      </c>
      <c r="G32" t="s">
        <v>42</v>
      </c>
      <c r="H32">
        <v>56</v>
      </c>
      <c r="I32">
        <v>31</v>
      </c>
      <c r="J32">
        <f>IF(AND(표1_[[#This Row],[유지회차]]=표1_[[#This Row],[회차리스트]], OR(B32="해지", B32="실효", B32="만기", B32="사망")), 1, 0)</f>
        <v>0</v>
      </c>
    </row>
    <row r="33" spans="1:10" x14ac:dyDescent="0.3">
      <c r="A33">
        <v>1</v>
      </c>
      <c r="B33" t="s">
        <v>4</v>
      </c>
      <c r="C33" s="5">
        <v>43831</v>
      </c>
      <c r="D33" s="5">
        <v>45565</v>
      </c>
      <c r="E33" t="s">
        <v>22</v>
      </c>
      <c r="F33" t="s">
        <v>32</v>
      </c>
      <c r="G33" t="s">
        <v>42</v>
      </c>
      <c r="H33">
        <v>56</v>
      </c>
      <c r="I33">
        <v>32</v>
      </c>
      <c r="J33">
        <f>IF(AND(표1_[[#This Row],[유지회차]]=표1_[[#This Row],[회차리스트]], OR(B33="해지", B33="실효", B33="만기", B33="사망")), 1, 0)</f>
        <v>0</v>
      </c>
    </row>
    <row r="34" spans="1:10" x14ac:dyDescent="0.3">
      <c r="A34">
        <v>1</v>
      </c>
      <c r="B34" t="s">
        <v>4</v>
      </c>
      <c r="C34" s="5">
        <v>43831</v>
      </c>
      <c r="D34" s="5">
        <v>45565</v>
      </c>
      <c r="E34" t="s">
        <v>22</v>
      </c>
      <c r="F34" t="s">
        <v>32</v>
      </c>
      <c r="G34" t="s">
        <v>42</v>
      </c>
      <c r="H34">
        <v>56</v>
      </c>
      <c r="I34">
        <v>33</v>
      </c>
      <c r="J34">
        <f>IF(AND(표1_[[#This Row],[유지회차]]=표1_[[#This Row],[회차리스트]], OR(B34="해지", B34="실효", B34="만기", B34="사망")), 1, 0)</f>
        <v>0</v>
      </c>
    </row>
    <row r="35" spans="1:10" x14ac:dyDescent="0.3">
      <c r="A35">
        <v>1</v>
      </c>
      <c r="B35" t="s">
        <v>4</v>
      </c>
      <c r="C35" s="5">
        <v>43831</v>
      </c>
      <c r="D35" s="5">
        <v>45565</v>
      </c>
      <c r="E35" t="s">
        <v>22</v>
      </c>
      <c r="F35" t="s">
        <v>32</v>
      </c>
      <c r="G35" t="s">
        <v>42</v>
      </c>
      <c r="H35">
        <v>56</v>
      </c>
      <c r="I35">
        <v>34</v>
      </c>
      <c r="J35">
        <f>IF(AND(표1_[[#This Row],[유지회차]]=표1_[[#This Row],[회차리스트]], OR(B35="해지", B35="실효", B35="만기", B35="사망")), 1, 0)</f>
        <v>0</v>
      </c>
    </row>
    <row r="36" spans="1:10" x14ac:dyDescent="0.3">
      <c r="A36">
        <v>1</v>
      </c>
      <c r="B36" t="s">
        <v>4</v>
      </c>
      <c r="C36" s="5">
        <v>43831</v>
      </c>
      <c r="D36" s="5">
        <v>45565</v>
      </c>
      <c r="E36" t="s">
        <v>22</v>
      </c>
      <c r="F36" t="s">
        <v>32</v>
      </c>
      <c r="G36" t="s">
        <v>42</v>
      </c>
      <c r="H36">
        <v>56</v>
      </c>
      <c r="I36">
        <v>35</v>
      </c>
      <c r="J36">
        <f>IF(AND(표1_[[#This Row],[유지회차]]=표1_[[#This Row],[회차리스트]], OR(B36="해지", B36="실효", B36="만기", B36="사망")), 1, 0)</f>
        <v>0</v>
      </c>
    </row>
    <row r="37" spans="1:10" x14ac:dyDescent="0.3">
      <c r="A37">
        <v>1</v>
      </c>
      <c r="B37" t="s">
        <v>4</v>
      </c>
      <c r="C37" s="5">
        <v>43831</v>
      </c>
      <c r="D37" s="5">
        <v>45565</v>
      </c>
      <c r="E37" t="s">
        <v>22</v>
      </c>
      <c r="F37" t="s">
        <v>32</v>
      </c>
      <c r="G37" t="s">
        <v>42</v>
      </c>
      <c r="H37">
        <v>56</v>
      </c>
      <c r="I37">
        <v>36</v>
      </c>
      <c r="J37">
        <f>IF(AND(표1_[[#This Row],[유지회차]]=표1_[[#This Row],[회차리스트]], OR(B37="해지", B37="실효", B37="만기", B37="사망")), 1, 0)</f>
        <v>0</v>
      </c>
    </row>
    <row r="38" spans="1:10" x14ac:dyDescent="0.3">
      <c r="A38">
        <v>1</v>
      </c>
      <c r="B38" t="s">
        <v>4</v>
      </c>
      <c r="C38" s="5">
        <v>43831</v>
      </c>
      <c r="D38" s="5">
        <v>45565</v>
      </c>
      <c r="E38" t="s">
        <v>22</v>
      </c>
      <c r="F38" t="s">
        <v>32</v>
      </c>
      <c r="G38" t="s">
        <v>42</v>
      </c>
      <c r="H38">
        <v>56</v>
      </c>
      <c r="I38">
        <v>37</v>
      </c>
      <c r="J38">
        <f>IF(AND(표1_[[#This Row],[유지회차]]=표1_[[#This Row],[회차리스트]], OR(B38="해지", B38="실효", B38="만기", B38="사망")), 1, 0)</f>
        <v>0</v>
      </c>
    </row>
    <row r="39" spans="1:10" x14ac:dyDescent="0.3">
      <c r="A39">
        <v>1</v>
      </c>
      <c r="B39" t="s">
        <v>4</v>
      </c>
      <c r="C39" s="5">
        <v>43831</v>
      </c>
      <c r="D39" s="5">
        <v>45565</v>
      </c>
      <c r="E39" t="s">
        <v>22</v>
      </c>
      <c r="F39" t="s">
        <v>32</v>
      </c>
      <c r="G39" t="s">
        <v>42</v>
      </c>
      <c r="H39">
        <v>56</v>
      </c>
      <c r="I39">
        <v>38</v>
      </c>
      <c r="J39">
        <f>IF(AND(표1_[[#This Row],[유지회차]]=표1_[[#This Row],[회차리스트]], OR(B39="해지", B39="실효", B39="만기", B39="사망")), 1, 0)</f>
        <v>0</v>
      </c>
    </row>
    <row r="40" spans="1:10" x14ac:dyDescent="0.3">
      <c r="A40">
        <v>1</v>
      </c>
      <c r="B40" t="s">
        <v>4</v>
      </c>
      <c r="C40" s="5">
        <v>43831</v>
      </c>
      <c r="D40" s="5">
        <v>45565</v>
      </c>
      <c r="E40" t="s">
        <v>22</v>
      </c>
      <c r="F40" t="s">
        <v>32</v>
      </c>
      <c r="G40" t="s">
        <v>42</v>
      </c>
      <c r="H40">
        <v>56</v>
      </c>
      <c r="I40">
        <v>39</v>
      </c>
      <c r="J40">
        <f>IF(AND(표1_[[#This Row],[유지회차]]=표1_[[#This Row],[회차리스트]], OR(B40="해지", B40="실효", B40="만기", B40="사망")), 1, 0)</f>
        <v>0</v>
      </c>
    </row>
    <row r="41" spans="1:10" x14ac:dyDescent="0.3">
      <c r="A41">
        <v>1</v>
      </c>
      <c r="B41" t="s">
        <v>4</v>
      </c>
      <c r="C41" s="5">
        <v>43831</v>
      </c>
      <c r="D41" s="5">
        <v>45565</v>
      </c>
      <c r="E41" t="s">
        <v>22</v>
      </c>
      <c r="F41" t="s">
        <v>32</v>
      </c>
      <c r="G41" t="s">
        <v>42</v>
      </c>
      <c r="H41">
        <v>56</v>
      </c>
      <c r="I41">
        <v>40</v>
      </c>
      <c r="J41">
        <f>IF(AND(표1_[[#This Row],[유지회차]]=표1_[[#This Row],[회차리스트]], OR(B41="해지", B41="실효", B41="만기", B41="사망")), 1, 0)</f>
        <v>0</v>
      </c>
    </row>
    <row r="42" spans="1:10" x14ac:dyDescent="0.3">
      <c r="A42">
        <v>1</v>
      </c>
      <c r="B42" t="s">
        <v>4</v>
      </c>
      <c r="C42" s="5">
        <v>43831</v>
      </c>
      <c r="D42" s="5">
        <v>45565</v>
      </c>
      <c r="E42" t="s">
        <v>22</v>
      </c>
      <c r="F42" t="s">
        <v>32</v>
      </c>
      <c r="G42" t="s">
        <v>42</v>
      </c>
      <c r="H42">
        <v>56</v>
      </c>
      <c r="I42">
        <v>41</v>
      </c>
      <c r="J42">
        <f>IF(AND(표1_[[#This Row],[유지회차]]=표1_[[#This Row],[회차리스트]], OR(B42="해지", B42="실효", B42="만기", B42="사망")), 1, 0)</f>
        <v>0</v>
      </c>
    </row>
    <row r="43" spans="1:10" x14ac:dyDescent="0.3">
      <c r="A43">
        <v>1</v>
      </c>
      <c r="B43" t="s">
        <v>4</v>
      </c>
      <c r="C43" s="5">
        <v>43831</v>
      </c>
      <c r="D43" s="5">
        <v>45565</v>
      </c>
      <c r="E43" t="s">
        <v>22</v>
      </c>
      <c r="F43" t="s">
        <v>32</v>
      </c>
      <c r="G43" t="s">
        <v>42</v>
      </c>
      <c r="H43">
        <v>56</v>
      </c>
      <c r="I43">
        <v>42</v>
      </c>
      <c r="J43">
        <f>IF(AND(표1_[[#This Row],[유지회차]]=표1_[[#This Row],[회차리스트]], OR(B43="해지", B43="실효", B43="만기", B43="사망")), 1, 0)</f>
        <v>0</v>
      </c>
    </row>
    <row r="44" spans="1:10" x14ac:dyDescent="0.3">
      <c r="A44">
        <v>1</v>
      </c>
      <c r="B44" t="s">
        <v>4</v>
      </c>
      <c r="C44" s="5">
        <v>43831</v>
      </c>
      <c r="D44" s="5">
        <v>45565</v>
      </c>
      <c r="E44" t="s">
        <v>22</v>
      </c>
      <c r="F44" t="s">
        <v>32</v>
      </c>
      <c r="G44" t="s">
        <v>42</v>
      </c>
      <c r="H44">
        <v>56</v>
      </c>
      <c r="I44">
        <v>43</v>
      </c>
      <c r="J44">
        <f>IF(AND(표1_[[#This Row],[유지회차]]=표1_[[#This Row],[회차리스트]], OR(B44="해지", B44="실효", B44="만기", B44="사망")), 1, 0)</f>
        <v>0</v>
      </c>
    </row>
    <row r="45" spans="1:10" x14ac:dyDescent="0.3">
      <c r="A45">
        <v>1</v>
      </c>
      <c r="B45" t="s">
        <v>4</v>
      </c>
      <c r="C45" s="5">
        <v>43831</v>
      </c>
      <c r="D45" s="5">
        <v>45565</v>
      </c>
      <c r="E45" t="s">
        <v>22</v>
      </c>
      <c r="F45" t="s">
        <v>32</v>
      </c>
      <c r="G45" t="s">
        <v>42</v>
      </c>
      <c r="H45">
        <v>56</v>
      </c>
      <c r="I45">
        <v>44</v>
      </c>
      <c r="J45">
        <f>IF(AND(표1_[[#This Row],[유지회차]]=표1_[[#This Row],[회차리스트]], OR(B45="해지", B45="실효", B45="만기", B45="사망")), 1, 0)</f>
        <v>0</v>
      </c>
    </row>
    <row r="46" spans="1:10" x14ac:dyDescent="0.3">
      <c r="A46">
        <v>1</v>
      </c>
      <c r="B46" t="s">
        <v>4</v>
      </c>
      <c r="C46" s="5">
        <v>43831</v>
      </c>
      <c r="D46" s="5">
        <v>45565</v>
      </c>
      <c r="E46" t="s">
        <v>22</v>
      </c>
      <c r="F46" t="s">
        <v>32</v>
      </c>
      <c r="G46" t="s">
        <v>42</v>
      </c>
      <c r="H46">
        <v>56</v>
      </c>
      <c r="I46">
        <v>45</v>
      </c>
      <c r="J46">
        <f>IF(AND(표1_[[#This Row],[유지회차]]=표1_[[#This Row],[회차리스트]], OR(B46="해지", B46="실효", B46="만기", B46="사망")), 1, 0)</f>
        <v>0</v>
      </c>
    </row>
    <row r="47" spans="1:10" x14ac:dyDescent="0.3">
      <c r="A47">
        <v>1</v>
      </c>
      <c r="B47" t="s">
        <v>4</v>
      </c>
      <c r="C47" s="5">
        <v>43831</v>
      </c>
      <c r="D47" s="5">
        <v>45565</v>
      </c>
      <c r="E47" t="s">
        <v>22</v>
      </c>
      <c r="F47" t="s">
        <v>32</v>
      </c>
      <c r="G47" t="s">
        <v>42</v>
      </c>
      <c r="H47">
        <v>56</v>
      </c>
      <c r="I47">
        <v>46</v>
      </c>
      <c r="J47">
        <f>IF(AND(표1_[[#This Row],[유지회차]]=표1_[[#This Row],[회차리스트]], OR(B47="해지", B47="실효", B47="만기", B47="사망")), 1, 0)</f>
        <v>0</v>
      </c>
    </row>
    <row r="48" spans="1:10" x14ac:dyDescent="0.3">
      <c r="A48">
        <v>1</v>
      </c>
      <c r="B48" t="s">
        <v>4</v>
      </c>
      <c r="C48" s="5">
        <v>43831</v>
      </c>
      <c r="D48" s="5">
        <v>45565</v>
      </c>
      <c r="E48" t="s">
        <v>22</v>
      </c>
      <c r="F48" t="s">
        <v>32</v>
      </c>
      <c r="G48" t="s">
        <v>42</v>
      </c>
      <c r="H48">
        <v>56</v>
      </c>
      <c r="I48">
        <v>47</v>
      </c>
      <c r="J48">
        <f>IF(AND(표1_[[#This Row],[유지회차]]=표1_[[#This Row],[회차리스트]], OR(B48="해지", B48="실효", B48="만기", B48="사망")), 1, 0)</f>
        <v>0</v>
      </c>
    </row>
    <row r="49" spans="1:10" x14ac:dyDescent="0.3">
      <c r="A49">
        <v>1</v>
      </c>
      <c r="B49" t="s">
        <v>4</v>
      </c>
      <c r="C49" s="5">
        <v>43831</v>
      </c>
      <c r="D49" s="5">
        <v>45565</v>
      </c>
      <c r="E49" t="s">
        <v>22</v>
      </c>
      <c r="F49" t="s">
        <v>32</v>
      </c>
      <c r="G49" t="s">
        <v>42</v>
      </c>
      <c r="H49">
        <v>56</v>
      </c>
      <c r="I49">
        <v>48</v>
      </c>
      <c r="J49">
        <f>IF(AND(표1_[[#This Row],[유지회차]]=표1_[[#This Row],[회차리스트]], OR(B49="해지", B49="실효", B49="만기", B49="사망")), 1, 0)</f>
        <v>0</v>
      </c>
    </row>
    <row r="50" spans="1:10" x14ac:dyDescent="0.3">
      <c r="A50">
        <v>1</v>
      </c>
      <c r="B50" t="s">
        <v>4</v>
      </c>
      <c r="C50" s="5">
        <v>43831</v>
      </c>
      <c r="D50" s="5">
        <v>45565</v>
      </c>
      <c r="E50" t="s">
        <v>22</v>
      </c>
      <c r="F50" t="s">
        <v>32</v>
      </c>
      <c r="G50" t="s">
        <v>42</v>
      </c>
      <c r="H50">
        <v>56</v>
      </c>
      <c r="I50">
        <v>49</v>
      </c>
      <c r="J50">
        <f>IF(AND(표1_[[#This Row],[유지회차]]=표1_[[#This Row],[회차리스트]], OR(B50="해지", B50="실효", B50="만기", B50="사망")), 1, 0)</f>
        <v>0</v>
      </c>
    </row>
    <row r="51" spans="1:10" x14ac:dyDescent="0.3">
      <c r="A51">
        <v>1</v>
      </c>
      <c r="B51" t="s">
        <v>4</v>
      </c>
      <c r="C51" s="5">
        <v>43831</v>
      </c>
      <c r="D51" s="5">
        <v>45565</v>
      </c>
      <c r="E51" t="s">
        <v>22</v>
      </c>
      <c r="F51" t="s">
        <v>32</v>
      </c>
      <c r="G51" t="s">
        <v>42</v>
      </c>
      <c r="H51">
        <v>56</v>
      </c>
      <c r="I51">
        <v>50</v>
      </c>
      <c r="J51">
        <f>IF(AND(표1_[[#This Row],[유지회차]]=표1_[[#This Row],[회차리스트]], OR(B51="해지", B51="실효", B51="만기", B51="사망")), 1, 0)</f>
        <v>0</v>
      </c>
    </row>
    <row r="52" spans="1:10" x14ac:dyDescent="0.3">
      <c r="A52">
        <v>1</v>
      </c>
      <c r="B52" t="s">
        <v>4</v>
      </c>
      <c r="C52" s="5">
        <v>43831</v>
      </c>
      <c r="D52" s="5">
        <v>45565</v>
      </c>
      <c r="E52" t="s">
        <v>22</v>
      </c>
      <c r="F52" t="s">
        <v>32</v>
      </c>
      <c r="G52" t="s">
        <v>42</v>
      </c>
      <c r="H52">
        <v>56</v>
      </c>
      <c r="I52">
        <v>51</v>
      </c>
      <c r="J52">
        <f>IF(AND(표1_[[#This Row],[유지회차]]=표1_[[#This Row],[회차리스트]], OR(B52="해지", B52="실효", B52="만기", B52="사망")), 1, 0)</f>
        <v>0</v>
      </c>
    </row>
    <row r="53" spans="1:10" x14ac:dyDescent="0.3">
      <c r="A53">
        <v>1</v>
      </c>
      <c r="B53" t="s">
        <v>4</v>
      </c>
      <c r="C53" s="5">
        <v>43831</v>
      </c>
      <c r="D53" s="5">
        <v>45565</v>
      </c>
      <c r="E53" t="s">
        <v>22</v>
      </c>
      <c r="F53" t="s">
        <v>32</v>
      </c>
      <c r="G53" t="s">
        <v>42</v>
      </c>
      <c r="H53">
        <v>56</v>
      </c>
      <c r="I53">
        <v>52</v>
      </c>
      <c r="J53">
        <f>IF(AND(표1_[[#This Row],[유지회차]]=표1_[[#This Row],[회차리스트]], OR(B53="해지", B53="실효", B53="만기", B53="사망")), 1, 0)</f>
        <v>0</v>
      </c>
    </row>
    <row r="54" spans="1:10" x14ac:dyDescent="0.3">
      <c r="A54">
        <v>1</v>
      </c>
      <c r="B54" t="s">
        <v>4</v>
      </c>
      <c r="C54" s="5">
        <v>43831</v>
      </c>
      <c r="D54" s="5">
        <v>45565</v>
      </c>
      <c r="E54" t="s">
        <v>22</v>
      </c>
      <c r="F54" t="s">
        <v>32</v>
      </c>
      <c r="G54" t="s">
        <v>42</v>
      </c>
      <c r="H54">
        <v>56</v>
      </c>
      <c r="I54">
        <v>53</v>
      </c>
      <c r="J54">
        <f>IF(AND(표1_[[#This Row],[유지회차]]=표1_[[#This Row],[회차리스트]], OR(B54="해지", B54="실효", B54="만기", B54="사망")), 1, 0)</f>
        <v>0</v>
      </c>
    </row>
    <row r="55" spans="1:10" x14ac:dyDescent="0.3">
      <c r="A55">
        <v>1</v>
      </c>
      <c r="B55" t="s">
        <v>4</v>
      </c>
      <c r="C55" s="5">
        <v>43831</v>
      </c>
      <c r="D55" s="5">
        <v>45565</v>
      </c>
      <c r="E55" t="s">
        <v>22</v>
      </c>
      <c r="F55" t="s">
        <v>32</v>
      </c>
      <c r="G55" t="s">
        <v>42</v>
      </c>
      <c r="H55">
        <v>56</v>
      </c>
      <c r="I55">
        <v>54</v>
      </c>
      <c r="J55">
        <f>IF(AND(표1_[[#This Row],[유지회차]]=표1_[[#This Row],[회차리스트]], OR(B55="해지", B55="실효", B55="만기", B55="사망")), 1, 0)</f>
        <v>0</v>
      </c>
    </row>
    <row r="56" spans="1:10" x14ac:dyDescent="0.3">
      <c r="A56">
        <v>1</v>
      </c>
      <c r="B56" t="s">
        <v>4</v>
      </c>
      <c r="C56" s="5">
        <v>43831</v>
      </c>
      <c r="D56" s="5">
        <v>45565</v>
      </c>
      <c r="E56" t="s">
        <v>22</v>
      </c>
      <c r="F56" t="s">
        <v>32</v>
      </c>
      <c r="G56" t="s">
        <v>42</v>
      </c>
      <c r="H56">
        <v>56</v>
      </c>
      <c r="I56">
        <v>55</v>
      </c>
      <c r="J56">
        <f>IF(AND(표1_[[#This Row],[유지회차]]=표1_[[#This Row],[회차리스트]], OR(B56="해지", B56="실효", B56="만기", B56="사망")), 1, 0)</f>
        <v>0</v>
      </c>
    </row>
    <row r="57" spans="1:10" x14ac:dyDescent="0.3">
      <c r="A57">
        <v>1</v>
      </c>
      <c r="B57" t="s">
        <v>4</v>
      </c>
      <c r="C57" s="5">
        <v>43831</v>
      </c>
      <c r="D57" s="5">
        <v>45565</v>
      </c>
      <c r="E57" t="s">
        <v>22</v>
      </c>
      <c r="F57" t="s">
        <v>32</v>
      </c>
      <c r="G57" t="s">
        <v>42</v>
      </c>
      <c r="H57">
        <v>56</v>
      </c>
      <c r="I57">
        <v>56</v>
      </c>
      <c r="J57">
        <f>IF(AND(표1_[[#This Row],[유지회차]]=표1_[[#This Row],[회차리스트]], OR(B57="해지", B57="실효", B57="만기", B57="사망")), 1, 0)</f>
        <v>1</v>
      </c>
    </row>
    <row r="58" spans="1:10" x14ac:dyDescent="0.3">
      <c r="A58">
        <v>2</v>
      </c>
      <c r="B58" t="s">
        <v>6</v>
      </c>
      <c r="C58" s="5">
        <v>44318</v>
      </c>
      <c r="D58" s="5">
        <v>46112</v>
      </c>
      <c r="E58" t="s">
        <v>24</v>
      </c>
      <c r="F58" t="s">
        <v>34</v>
      </c>
      <c r="G58" t="s">
        <v>44</v>
      </c>
      <c r="H58">
        <v>59</v>
      </c>
      <c r="I58">
        <v>1</v>
      </c>
      <c r="J58">
        <f>IF(AND(표1_[[#This Row],[유지회차]]=표1_[[#This Row],[회차리스트]], OR(B58="해지", B58="실효", B58="만기", B58="사망")), 1, 0)</f>
        <v>0</v>
      </c>
    </row>
    <row r="59" spans="1:10" x14ac:dyDescent="0.3">
      <c r="A59">
        <v>2</v>
      </c>
      <c r="B59" t="s">
        <v>6</v>
      </c>
      <c r="C59" s="5">
        <v>44318</v>
      </c>
      <c r="D59" s="5">
        <v>46112</v>
      </c>
      <c r="E59" t="s">
        <v>24</v>
      </c>
      <c r="F59" t="s">
        <v>34</v>
      </c>
      <c r="G59" t="s">
        <v>44</v>
      </c>
      <c r="H59">
        <v>59</v>
      </c>
      <c r="I59">
        <v>2</v>
      </c>
      <c r="J59">
        <f>IF(AND(표1_[[#This Row],[유지회차]]=표1_[[#This Row],[회차리스트]], OR(B59="해지", B59="실효", B59="만기", B59="사망")), 1, 0)</f>
        <v>0</v>
      </c>
    </row>
    <row r="60" spans="1:10" x14ac:dyDescent="0.3">
      <c r="A60">
        <v>2</v>
      </c>
      <c r="B60" t="s">
        <v>6</v>
      </c>
      <c r="C60" s="5">
        <v>44318</v>
      </c>
      <c r="D60" s="5">
        <v>46112</v>
      </c>
      <c r="E60" t="s">
        <v>24</v>
      </c>
      <c r="F60" t="s">
        <v>34</v>
      </c>
      <c r="G60" t="s">
        <v>44</v>
      </c>
      <c r="H60">
        <v>59</v>
      </c>
      <c r="I60">
        <v>3</v>
      </c>
      <c r="J60">
        <f>IF(AND(표1_[[#This Row],[유지회차]]=표1_[[#This Row],[회차리스트]], OR(B60="해지", B60="실효", B60="만기", B60="사망")), 1, 0)</f>
        <v>0</v>
      </c>
    </row>
    <row r="61" spans="1:10" x14ac:dyDescent="0.3">
      <c r="A61">
        <v>2</v>
      </c>
      <c r="B61" t="s">
        <v>6</v>
      </c>
      <c r="C61" s="5">
        <v>44318</v>
      </c>
      <c r="D61" s="5">
        <v>46112</v>
      </c>
      <c r="E61" t="s">
        <v>24</v>
      </c>
      <c r="F61" t="s">
        <v>34</v>
      </c>
      <c r="G61" t="s">
        <v>44</v>
      </c>
      <c r="H61">
        <v>59</v>
      </c>
      <c r="I61">
        <v>4</v>
      </c>
      <c r="J61">
        <f>IF(AND(표1_[[#This Row],[유지회차]]=표1_[[#This Row],[회차리스트]], OR(B61="해지", B61="실효", B61="만기", B61="사망")), 1, 0)</f>
        <v>0</v>
      </c>
    </row>
    <row r="62" spans="1:10" x14ac:dyDescent="0.3">
      <c r="A62">
        <v>2</v>
      </c>
      <c r="B62" t="s">
        <v>6</v>
      </c>
      <c r="C62" s="5">
        <v>44318</v>
      </c>
      <c r="D62" s="5">
        <v>46112</v>
      </c>
      <c r="E62" t="s">
        <v>24</v>
      </c>
      <c r="F62" t="s">
        <v>34</v>
      </c>
      <c r="G62" t="s">
        <v>44</v>
      </c>
      <c r="H62">
        <v>59</v>
      </c>
      <c r="I62">
        <v>5</v>
      </c>
      <c r="J62">
        <f>IF(AND(표1_[[#This Row],[유지회차]]=표1_[[#This Row],[회차리스트]], OR(B62="해지", B62="실효", B62="만기", B62="사망")), 1, 0)</f>
        <v>0</v>
      </c>
    </row>
    <row r="63" spans="1:10" x14ac:dyDescent="0.3">
      <c r="A63">
        <v>2</v>
      </c>
      <c r="B63" t="s">
        <v>6</v>
      </c>
      <c r="C63" s="5">
        <v>44318</v>
      </c>
      <c r="D63" s="5">
        <v>46112</v>
      </c>
      <c r="E63" t="s">
        <v>24</v>
      </c>
      <c r="F63" t="s">
        <v>34</v>
      </c>
      <c r="G63" t="s">
        <v>44</v>
      </c>
      <c r="H63">
        <v>59</v>
      </c>
      <c r="I63">
        <v>6</v>
      </c>
      <c r="J63">
        <f>IF(AND(표1_[[#This Row],[유지회차]]=표1_[[#This Row],[회차리스트]], OR(B63="해지", B63="실효", B63="만기", B63="사망")), 1, 0)</f>
        <v>0</v>
      </c>
    </row>
    <row r="64" spans="1:10" x14ac:dyDescent="0.3">
      <c r="A64">
        <v>2</v>
      </c>
      <c r="B64" t="s">
        <v>6</v>
      </c>
      <c r="C64" s="5">
        <v>44318</v>
      </c>
      <c r="D64" s="5">
        <v>46112</v>
      </c>
      <c r="E64" t="s">
        <v>24</v>
      </c>
      <c r="F64" t="s">
        <v>34</v>
      </c>
      <c r="G64" t="s">
        <v>44</v>
      </c>
      <c r="H64">
        <v>59</v>
      </c>
      <c r="I64">
        <v>7</v>
      </c>
      <c r="J64">
        <f>IF(AND(표1_[[#This Row],[유지회차]]=표1_[[#This Row],[회차리스트]], OR(B64="해지", B64="실효", B64="만기", B64="사망")), 1, 0)</f>
        <v>0</v>
      </c>
    </row>
    <row r="65" spans="1:10" x14ac:dyDescent="0.3">
      <c r="A65">
        <v>2</v>
      </c>
      <c r="B65" t="s">
        <v>6</v>
      </c>
      <c r="C65" s="5">
        <v>44318</v>
      </c>
      <c r="D65" s="5">
        <v>46112</v>
      </c>
      <c r="E65" t="s">
        <v>24</v>
      </c>
      <c r="F65" t="s">
        <v>34</v>
      </c>
      <c r="G65" t="s">
        <v>44</v>
      </c>
      <c r="H65">
        <v>59</v>
      </c>
      <c r="I65">
        <v>8</v>
      </c>
      <c r="J65">
        <f>IF(AND(표1_[[#This Row],[유지회차]]=표1_[[#This Row],[회차리스트]], OR(B65="해지", B65="실효", B65="만기", B65="사망")), 1, 0)</f>
        <v>0</v>
      </c>
    </row>
    <row r="66" spans="1:10" x14ac:dyDescent="0.3">
      <c r="A66">
        <v>2</v>
      </c>
      <c r="B66" t="s">
        <v>6</v>
      </c>
      <c r="C66" s="5">
        <v>44318</v>
      </c>
      <c r="D66" s="5">
        <v>46112</v>
      </c>
      <c r="E66" t="s">
        <v>24</v>
      </c>
      <c r="F66" t="s">
        <v>34</v>
      </c>
      <c r="G66" t="s">
        <v>44</v>
      </c>
      <c r="H66">
        <v>59</v>
      </c>
      <c r="I66">
        <v>9</v>
      </c>
      <c r="J66">
        <f>IF(AND(표1_[[#This Row],[유지회차]]=표1_[[#This Row],[회차리스트]], OR(B66="해지", B66="실효", B66="만기", B66="사망")), 1, 0)</f>
        <v>0</v>
      </c>
    </row>
    <row r="67" spans="1:10" x14ac:dyDescent="0.3">
      <c r="A67">
        <v>2</v>
      </c>
      <c r="B67" t="s">
        <v>6</v>
      </c>
      <c r="C67" s="5">
        <v>44318</v>
      </c>
      <c r="D67" s="5">
        <v>46112</v>
      </c>
      <c r="E67" t="s">
        <v>24</v>
      </c>
      <c r="F67" t="s">
        <v>34</v>
      </c>
      <c r="G67" t="s">
        <v>44</v>
      </c>
      <c r="H67">
        <v>59</v>
      </c>
      <c r="I67">
        <v>10</v>
      </c>
      <c r="J67">
        <f>IF(AND(표1_[[#This Row],[유지회차]]=표1_[[#This Row],[회차리스트]], OR(B67="해지", B67="실효", B67="만기", B67="사망")), 1, 0)</f>
        <v>0</v>
      </c>
    </row>
    <row r="68" spans="1:10" x14ac:dyDescent="0.3">
      <c r="A68">
        <v>2</v>
      </c>
      <c r="B68" t="s">
        <v>6</v>
      </c>
      <c r="C68" s="5">
        <v>44318</v>
      </c>
      <c r="D68" s="5">
        <v>46112</v>
      </c>
      <c r="E68" t="s">
        <v>24</v>
      </c>
      <c r="F68" t="s">
        <v>34</v>
      </c>
      <c r="G68" t="s">
        <v>44</v>
      </c>
      <c r="H68">
        <v>59</v>
      </c>
      <c r="I68">
        <v>11</v>
      </c>
      <c r="J68">
        <f>IF(AND(표1_[[#This Row],[유지회차]]=표1_[[#This Row],[회차리스트]], OR(B68="해지", B68="실효", B68="만기", B68="사망")), 1, 0)</f>
        <v>0</v>
      </c>
    </row>
    <row r="69" spans="1:10" x14ac:dyDescent="0.3">
      <c r="A69">
        <v>2</v>
      </c>
      <c r="B69" t="s">
        <v>6</v>
      </c>
      <c r="C69" s="5">
        <v>44318</v>
      </c>
      <c r="D69" s="5">
        <v>46112</v>
      </c>
      <c r="E69" t="s">
        <v>24</v>
      </c>
      <c r="F69" t="s">
        <v>34</v>
      </c>
      <c r="G69" t="s">
        <v>44</v>
      </c>
      <c r="H69">
        <v>59</v>
      </c>
      <c r="I69">
        <v>12</v>
      </c>
      <c r="J69">
        <f>IF(AND(표1_[[#This Row],[유지회차]]=표1_[[#This Row],[회차리스트]], OR(B69="해지", B69="실효", B69="만기", B69="사망")), 1, 0)</f>
        <v>0</v>
      </c>
    </row>
    <row r="70" spans="1:10" x14ac:dyDescent="0.3">
      <c r="A70">
        <v>2</v>
      </c>
      <c r="B70" t="s">
        <v>6</v>
      </c>
      <c r="C70" s="5">
        <v>44318</v>
      </c>
      <c r="D70" s="5">
        <v>46112</v>
      </c>
      <c r="E70" t="s">
        <v>24</v>
      </c>
      <c r="F70" t="s">
        <v>34</v>
      </c>
      <c r="G70" t="s">
        <v>44</v>
      </c>
      <c r="H70">
        <v>59</v>
      </c>
      <c r="I70">
        <v>13</v>
      </c>
      <c r="J70">
        <f>IF(AND(표1_[[#This Row],[유지회차]]=표1_[[#This Row],[회차리스트]], OR(B70="해지", B70="실효", B70="만기", B70="사망")), 1, 0)</f>
        <v>0</v>
      </c>
    </row>
    <row r="71" spans="1:10" x14ac:dyDescent="0.3">
      <c r="A71">
        <v>2</v>
      </c>
      <c r="B71" t="s">
        <v>6</v>
      </c>
      <c r="C71" s="5">
        <v>44318</v>
      </c>
      <c r="D71" s="5">
        <v>46112</v>
      </c>
      <c r="E71" t="s">
        <v>24</v>
      </c>
      <c r="F71" t="s">
        <v>34</v>
      </c>
      <c r="G71" t="s">
        <v>44</v>
      </c>
      <c r="H71">
        <v>59</v>
      </c>
      <c r="I71">
        <v>14</v>
      </c>
      <c r="J71">
        <f>IF(AND(표1_[[#This Row],[유지회차]]=표1_[[#This Row],[회차리스트]], OR(B71="해지", B71="실효", B71="만기", B71="사망")), 1, 0)</f>
        <v>0</v>
      </c>
    </row>
    <row r="72" spans="1:10" x14ac:dyDescent="0.3">
      <c r="A72">
        <v>2</v>
      </c>
      <c r="B72" t="s">
        <v>6</v>
      </c>
      <c r="C72" s="5">
        <v>44318</v>
      </c>
      <c r="D72" s="5">
        <v>46112</v>
      </c>
      <c r="E72" t="s">
        <v>24</v>
      </c>
      <c r="F72" t="s">
        <v>34</v>
      </c>
      <c r="G72" t="s">
        <v>44</v>
      </c>
      <c r="H72">
        <v>59</v>
      </c>
      <c r="I72">
        <v>15</v>
      </c>
      <c r="J72">
        <f>IF(AND(표1_[[#This Row],[유지회차]]=표1_[[#This Row],[회차리스트]], OR(B72="해지", B72="실효", B72="만기", B72="사망")), 1, 0)</f>
        <v>0</v>
      </c>
    </row>
    <row r="73" spans="1:10" x14ac:dyDescent="0.3">
      <c r="A73">
        <v>2</v>
      </c>
      <c r="B73" t="s">
        <v>6</v>
      </c>
      <c r="C73" s="5">
        <v>44318</v>
      </c>
      <c r="D73" s="5">
        <v>46112</v>
      </c>
      <c r="E73" t="s">
        <v>24</v>
      </c>
      <c r="F73" t="s">
        <v>34</v>
      </c>
      <c r="G73" t="s">
        <v>44</v>
      </c>
      <c r="H73">
        <v>59</v>
      </c>
      <c r="I73">
        <v>16</v>
      </c>
      <c r="J73">
        <f>IF(AND(표1_[[#This Row],[유지회차]]=표1_[[#This Row],[회차리스트]], OR(B73="해지", B73="실효", B73="만기", B73="사망")), 1, 0)</f>
        <v>0</v>
      </c>
    </row>
    <row r="74" spans="1:10" x14ac:dyDescent="0.3">
      <c r="A74">
        <v>2</v>
      </c>
      <c r="B74" t="s">
        <v>6</v>
      </c>
      <c r="C74" s="5">
        <v>44318</v>
      </c>
      <c r="D74" s="5">
        <v>46112</v>
      </c>
      <c r="E74" t="s">
        <v>24</v>
      </c>
      <c r="F74" t="s">
        <v>34</v>
      </c>
      <c r="G74" t="s">
        <v>44</v>
      </c>
      <c r="H74">
        <v>59</v>
      </c>
      <c r="I74">
        <v>17</v>
      </c>
      <c r="J74">
        <f>IF(AND(표1_[[#This Row],[유지회차]]=표1_[[#This Row],[회차리스트]], OR(B74="해지", B74="실효", B74="만기", B74="사망")), 1, 0)</f>
        <v>0</v>
      </c>
    </row>
    <row r="75" spans="1:10" x14ac:dyDescent="0.3">
      <c r="A75">
        <v>2</v>
      </c>
      <c r="B75" t="s">
        <v>6</v>
      </c>
      <c r="C75" s="5">
        <v>44318</v>
      </c>
      <c r="D75" s="5">
        <v>46112</v>
      </c>
      <c r="E75" t="s">
        <v>24</v>
      </c>
      <c r="F75" t="s">
        <v>34</v>
      </c>
      <c r="G75" t="s">
        <v>44</v>
      </c>
      <c r="H75">
        <v>59</v>
      </c>
      <c r="I75">
        <v>18</v>
      </c>
      <c r="J75">
        <f>IF(AND(표1_[[#This Row],[유지회차]]=표1_[[#This Row],[회차리스트]], OR(B75="해지", B75="실효", B75="만기", B75="사망")), 1, 0)</f>
        <v>0</v>
      </c>
    </row>
    <row r="76" spans="1:10" x14ac:dyDescent="0.3">
      <c r="A76">
        <v>2</v>
      </c>
      <c r="B76" t="s">
        <v>6</v>
      </c>
      <c r="C76" s="5">
        <v>44318</v>
      </c>
      <c r="D76" s="5">
        <v>46112</v>
      </c>
      <c r="E76" t="s">
        <v>24</v>
      </c>
      <c r="F76" t="s">
        <v>34</v>
      </c>
      <c r="G76" t="s">
        <v>44</v>
      </c>
      <c r="H76">
        <v>59</v>
      </c>
      <c r="I76">
        <v>19</v>
      </c>
      <c r="J76">
        <f>IF(AND(표1_[[#This Row],[유지회차]]=표1_[[#This Row],[회차리스트]], OR(B76="해지", B76="실효", B76="만기", B76="사망")), 1, 0)</f>
        <v>0</v>
      </c>
    </row>
    <row r="77" spans="1:10" x14ac:dyDescent="0.3">
      <c r="A77">
        <v>2</v>
      </c>
      <c r="B77" t="s">
        <v>6</v>
      </c>
      <c r="C77" s="5">
        <v>44318</v>
      </c>
      <c r="D77" s="5">
        <v>46112</v>
      </c>
      <c r="E77" t="s">
        <v>24</v>
      </c>
      <c r="F77" t="s">
        <v>34</v>
      </c>
      <c r="G77" t="s">
        <v>44</v>
      </c>
      <c r="H77">
        <v>59</v>
      </c>
      <c r="I77">
        <v>20</v>
      </c>
      <c r="J77">
        <f>IF(AND(표1_[[#This Row],[유지회차]]=표1_[[#This Row],[회차리스트]], OR(B77="해지", B77="실효", B77="만기", B77="사망")), 1, 0)</f>
        <v>0</v>
      </c>
    </row>
    <row r="78" spans="1:10" x14ac:dyDescent="0.3">
      <c r="A78">
        <v>2</v>
      </c>
      <c r="B78" t="s">
        <v>6</v>
      </c>
      <c r="C78" s="5">
        <v>44318</v>
      </c>
      <c r="D78" s="5">
        <v>46112</v>
      </c>
      <c r="E78" t="s">
        <v>24</v>
      </c>
      <c r="F78" t="s">
        <v>34</v>
      </c>
      <c r="G78" t="s">
        <v>44</v>
      </c>
      <c r="H78">
        <v>59</v>
      </c>
      <c r="I78">
        <v>21</v>
      </c>
      <c r="J78">
        <f>IF(AND(표1_[[#This Row],[유지회차]]=표1_[[#This Row],[회차리스트]], OR(B78="해지", B78="실효", B78="만기", B78="사망")), 1, 0)</f>
        <v>0</v>
      </c>
    </row>
    <row r="79" spans="1:10" x14ac:dyDescent="0.3">
      <c r="A79">
        <v>2</v>
      </c>
      <c r="B79" t="s">
        <v>6</v>
      </c>
      <c r="C79" s="5">
        <v>44318</v>
      </c>
      <c r="D79" s="5">
        <v>46112</v>
      </c>
      <c r="E79" t="s">
        <v>24</v>
      </c>
      <c r="F79" t="s">
        <v>34</v>
      </c>
      <c r="G79" t="s">
        <v>44</v>
      </c>
      <c r="H79">
        <v>59</v>
      </c>
      <c r="I79">
        <v>22</v>
      </c>
      <c r="J79">
        <f>IF(AND(표1_[[#This Row],[유지회차]]=표1_[[#This Row],[회차리스트]], OR(B79="해지", B79="실효", B79="만기", B79="사망")), 1, 0)</f>
        <v>0</v>
      </c>
    </row>
    <row r="80" spans="1:10" x14ac:dyDescent="0.3">
      <c r="A80">
        <v>2</v>
      </c>
      <c r="B80" t="s">
        <v>6</v>
      </c>
      <c r="C80" s="5">
        <v>44318</v>
      </c>
      <c r="D80" s="5">
        <v>46112</v>
      </c>
      <c r="E80" t="s">
        <v>24</v>
      </c>
      <c r="F80" t="s">
        <v>34</v>
      </c>
      <c r="G80" t="s">
        <v>44</v>
      </c>
      <c r="H80">
        <v>59</v>
      </c>
      <c r="I80">
        <v>23</v>
      </c>
      <c r="J80">
        <f>IF(AND(표1_[[#This Row],[유지회차]]=표1_[[#This Row],[회차리스트]], OR(B80="해지", B80="실효", B80="만기", B80="사망")), 1, 0)</f>
        <v>0</v>
      </c>
    </row>
    <row r="81" spans="1:10" x14ac:dyDescent="0.3">
      <c r="A81">
        <v>2</v>
      </c>
      <c r="B81" t="s">
        <v>6</v>
      </c>
      <c r="C81" s="5">
        <v>44318</v>
      </c>
      <c r="D81" s="5">
        <v>46112</v>
      </c>
      <c r="E81" t="s">
        <v>24</v>
      </c>
      <c r="F81" t="s">
        <v>34</v>
      </c>
      <c r="G81" t="s">
        <v>44</v>
      </c>
      <c r="H81">
        <v>59</v>
      </c>
      <c r="I81">
        <v>24</v>
      </c>
      <c r="J81">
        <f>IF(AND(표1_[[#This Row],[유지회차]]=표1_[[#This Row],[회차리스트]], OR(B81="해지", B81="실효", B81="만기", B81="사망")), 1, 0)</f>
        <v>0</v>
      </c>
    </row>
    <row r="82" spans="1:10" x14ac:dyDescent="0.3">
      <c r="A82">
        <v>2</v>
      </c>
      <c r="B82" t="s">
        <v>6</v>
      </c>
      <c r="C82" s="5">
        <v>44318</v>
      </c>
      <c r="D82" s="5">
        <v>46112</v>
      </c>
      <c r="E82" t="s">
        <v>24</v>
      </c>
      <c r="F82" t="s">
        <v>34</v>
      </c>
      <c r="G82" t="s">
        <v>44</v>
      </c>
      <c r="H82">
        <v>59</v>
      </c>
      <c r="I82">
        <v>25</v>
      </c>
      <c r="J82">
        <f>IF(AND(표1_[[#This Row],[유지회차]]=표1_[[#This Row],[회차리스트]], OR(B82="해지", B82="실효", B82="만기", B82="사망")), 1, 0)</f>
        <v>0</v>
      </c>
    </row>
    <row r="83" spans="1:10" x14ac:dyDescent="0.3">
      <c r="A83">
        <v>2</v>
      </c>
      <c r="B83" t="s">
        <v>6</v>
      </c>
      <c r="C83" s="5">
        <v>44318</v>
      </c>
      <c r="D83" s="5">
        <v>46112</v>
      </c>
      <c r="E83" t="s">
        <v>24</v>
      </c>
      <c r="F83" t="s">
        <v>34</v>
      </c>
      <c r="G83" t="s">
        <v>44</v>
      </c>
      <c r="H83">
        <v>59</v>
      </c>
      <c r="I83">
        <v>26</v>
      </c>
      <c r="J83">
        <f>IF(AND(표1_[[#This Row],[유지회차]]=표1_[[#This Row],[회차리스트]], OR(B83="해지", B83="실효", B83="만기", B83="사망")), 1, 0)</f>
        <v>0</v>
      </c>
    </row>
    <row r="84" spans="1:10" x14ac:dyDescent="0.3">
      <c r="A84">
        <v>2</v>
      </c>
      <c r="B84" t="s">
        <v>6</v>
      </c>
      <c r="C84" s="5">
        <v>44318</v>
      </c>
      <c r="D84" s="5">
        <v>46112</v>
      </c>
      <c r="E84" t="s">
        <v>24</v>
      </c>
      <c r="F84" t="s">
        <v>34</v>
      </c>
      <c r="G84" t="s">
        <v>44</v>
      </c>
      <c r="H84">
        <v>59</v>
      </c>
      <c r="I84">
        <v>27</v>
      </c>
      <c r="J84">
        <f>IF(AND(표1_[[#This Row],[유지회차]]=표1_[[#This Row],[회차리스트]], OR(B84="해지", B84="실효", B84="만기", B84="사망")), 1, 0)</f>
        <v>0</v>
      </c>
    </row>
    <row r="85" spans="1:10" x14ac:dyDescent="0.3">
      <c r="A85">
        <v>2</v>
      </c>
      <c r="B85" t="s">
        <v>6</v>
      </c>
      <c r="C85" s="5">
        <v>44318</v>
      </c>
      <c r="D85" s="5">
        <v>46112</v>
      </c>
      <c r="E85" t="s">
        <v>24</v>
      </c>
      <c r="F85" t="s">
        <v>34</v>
      </c>
      <c r="G85" t="s">
        <v>44</v>
      </c>
      <c r="H85">
        <v>59</v>
      </c>
      <c r="I85">
        <v>28</v>
      </c>
      <c r="J85">
        <f>IF(AND(표1_[[#This Row],[유지회차]]=표1_[[#This Row],[회차리스트]], OR(B85="해지", B85="실효", B85="만기", B85="사망")), 1, 0)</f>
        <v>0</v>
      </c>
    </row>
    <row r="86" spans="1:10" x14ac:dyDescent="0.3">
      <c r="A86">
        <v>2</v>
      </c>
      <c r="B86" t="s">
        <v>6</v>
      </c>
      <c r="C86" s="5">
        <v>44318</v>
      </c>
      <c r="D86" s="5">
        <v>46112</v>
      </c>
      <c r="E86" t="s">
        <v>24</v>
      </c>
      <c r="F86" t="s">
        <v>34</v>
      </c>
      <c r="G86" t="s">
        <v>44</v>
      </c>
      <c r="H86">
        <v>59</v>
      </c>
      <c r="I86">
        <v>29</v>
      </c>
      <c r="J86">
        <f>IF(AND(표1_[[#This Row],[유지회차]]=표1_[[#This Row],[회차리스트]], OR(B86="해지", B86="실효", B86="만기", B86="사망")), 1, 0)</f>
        <v>0</v>
      </c>
    </row>
    <row r="87" spans="1:10" x14ac:dyDescent="0.3">
      <c r="A87">
        <v>2</v>
      </c>
      <c r="B87" t="s">
        <v>6</v>
      </c>
      <c r="C87" s="5">
        <v>44318</v>
      </c>
      <c r="D87" s="5">
        <v>46112</v>
      </c>
      <c r="E87" t="s">
        <v>24</v>
      </c>
      <c r="F87" t="s">
        <v>34</v>
      </c>
      <c r="G87" t="s">
        <v>44</v>
      </c>
      <c r="H87">
        <v>59</v>
      </c>
      <c r="I87">
        <v>30</v>
      </c>
      <c r="J87">
        <f>IF(AND(표1_[[#This Row],[유지회차]]=표1_[[#This Row],[회차리스트]], OR(B87="해지", B87="실효", B87="만기", B87="사망")), 1, 0)</f>
        <v>0</v>
      </c>
    </row>
    <row r="88" spans="1:10" x14ac:dyDescent="0.3">
      <c r="A88">
        <v>2</v>
      </c>
      <c r="B88" t="s">
        <v>6</v>
      </c>
      <c r="C88" s="5">
        <v>44318</v>
      </c>
      <c r="D88" s="5">
        <v>46112</v>
      </c>
      <c r="E88" t="s">
        <v>24</v>
      </c>
      <c r="F88" t="s">
        <v>34</v>
      </c>
      <c r="G88" t="s">
        <v>44</v>
      </c>
      <c r="H88">
        <v>59</v>
      </c>
      <c r="I88">
        <v>31</v>
      </c>
      <c r="J88">
        <f>IF(AND(표1_[[#This Row],[유지회차]]=표1_[[#This Row],[회차리스트]], OR(B88="해지", B88="실효", B88="만기", B88="사망")), 1, 0)</f>
        <v>0</v>
      </c>
    </row>
    <row r="89" spans="1:10" x14ac:dyDescent="0.3">
      <c r="A89">
        <v>2</v>
      </c>
      <c r="B89" t="s">
        <v>6</v>
      </c>
      <c r="C89" s="5">
        <v>44318</v>
      </c>
      <c r="D89" s="5">
        <v>46112</v>
      </c>
      <c r="E89" t="s">
        <v>24</v>
      </c>
      <c r="F89" t="s">
        <v>34</v>
      </c>
      <c r="G89" t="s">
        <v>44</v>
      </c>
      <c r="H89">
        <v>59</v>
      </c>
      <c r="I89">
        <v>32</v>
      </c>
      <c r="J89">
        <f>IF(AND(표1_[[#This Row],[유지회차]]=표1_[[#This Row],[회차리스트]], OR(B89="해지", B89="실효", B89="만기", B89="사망")), 1, 0)</f>
        <v>0</v>
      </c>
    </row>
    <row r="90" spans="1:10" x14ac:dyDescent="0.3">
      <c r="A90">
        <v>2</v>
      </c>
      <c r="B90" t="s">
        <v>6</v>
      </c>
      <c r="C90" s="5">
        <v>44318</v>
      </c>
      <c r="D90" s="5">
        <v>46112</v>
      </c>
      <c r="E90" t="s">
        <v>24</v>
      </c>
      <c r="F90" t="s">
        <v>34</v>
      </c>
      <c r="G90" t="s">
        <v>44</v>
      </c>
      <c r="H90">
        <v>59</v>
      </c>
      <c r="I90">
        <v>33</v>
      </c>
      <c r="J90">
        <f>IF(AND(표1_[[#This Row],[유지회차]]=표1_[[#This Row],[회차리스트]], OR(B90="해지", B90="실효", B90="만기", B90="사망")), 1, 0)</f>
        <v>0</v>
      </c>
    </row>
    <row r="91" spans="1:10" x14ac:dyDescent="0.3">
      <c r="A91">
        <v>2</v>
      </c>
      <c r="B91" t="s">
        <v>6</v>
      </c>
      <c r="C91" s="5">
        <v>44318</v>
      </c>
      <c r="D91" s="5">
        <v>46112</v>
      </c>
      <c r="E91" t="s">
        <v>24</v>
      </c>
      <c r="F91" t="s">
        <v>34</v>
      </c>
      <c r="G91" t="s">
        <v>44</v>
      </c>
      <c r="H91">
        <v>59</v>
      </c>
      <c r="I91">
        <v>34</v>
      </c>
      <c r="J91">
        <f>IF(AND(표1_[[#This Row],[유지회차]]=표1_[[#This Row],[회차리스트]], OR(B91="해지", B91="실효", B91="만기", B91="사망")), 1, 0)</f>
        <v>0</v>
      </c>
    </row>
    <row r="92" spans="1:10" x14ac:dyDescent="0.3">
      <c r="A92">
        <v>2</v>
      </c>
      <c r="B92" t="s">
        <v>6</v>
      </c>
      <c r="C92" s="5">
        <v>44318</v>
      </c>
      <c r="D92" s="5">
        <v>46112</v>
      </c>
      <c r="E92" t="s">
        <v>24</v>
      </c>
      <c r="F92" t="s">
        <v>34</v>
      </c>
      <c r="G92" t="s">
        <v>44</v>
      </c>
      <c r="H92">
        <v>59</v>
      </c>
      <c r="I92">
        <v>35</v>
      </c>
      <c r="J92">
        <f>IF(AND(표1_[[#This Row],[유지회차]]=표1_[[#This Row],[회차리스트]], OR(B92="해지", B92="실효", B92="만기", B92="사망")), 1, 0)</f>
        <v>0</v>
      </c>
    </row>
    <row r="93" spans="1:10" x14ac:dyDescent="0.3">
      <c r="A93">
        <v>2</v>
      </c>
      <c r="B93" t="s">
        <v>6</v>
      </c>
      <c r="C93" s="5">
        <v>44318</v>
      </c>
      <c r="D93" s="5">
        <v>46112</v>
      </c>
      <c r="E93" t="s">
        <v>24</v>
      </c>
      <c r="F93" t="s">
        <v>34</v>
      </c>
      <c r="G93" t="s">
        <v>44</v>
      </c>
      <c r="H93">
        <v>59</v>
      </c>
      <c r="I93">
        <v>36</v>
      </c>
      <c r="J93">
        <f>IF(AND(표1_[[#This Row],[유지회차]]=표1_[[#This Row],[회차리스트]], OR(B93="해지", B93="실효", B93="만기", B93="사망")), 1, 0)</f>
        <v>0</v>
      </c>
    </row>
    <row r="94" spans="1:10" x14ac:dyDescent="0.3">
      <c r="A94">
        <v>2</v>
      </c>
      <c r="B94" t="s">
        <v>6</v>
      </c>
      <c r="C94" s="5">
        <v>44318</v>
      </c>
      <c r="D94" s="5">
        <v>46112</v>
      </c>
      <c r="E94" t="s">
        <v>24</v>
      </c>
      <c r="F94" t="s">
        <v>34</v>
      </c>
      <c r="G94" t="s">
        <v>44</v>
      </c>
      <c r="H94">
        <v>59</v>
      </c>
      <c r="I94">
        <v>37</v>
      </c>
      <c r="J94">
        <f>IF(AND(표1_[[#This Row],[유지회차]]=표1_[[#This Row],[회차리스트]], OR(B94="해지", B94="실효", B94="만기", B94="사망")), 1, 0)</f>
        <v>0</v>
      </c>
    </row>
    <row r="95" spans="1:10" x14ac:dyDescent="0.3">
      <c r="A95">
        <v>2</v>
      </c>
      <c r="B95" t="s">
        <v>6</v>
      </c>
      <c r="C95" s="5">
        <v>44318</v>
      </c>
      <c r="D95" s="5">
        <v>46112</v>
      </c>
      <c r="E95" t="s">
        <v>24</v>
      </c>
      <c r="F95" t="s">
        <v>34</v>
      </c>
      <c r="G95" t="s">
        <v>44</v>
      </c>
      <c r="H95">
        <v>59</v>
      </c>
      <c r="I95">
        <v>38</v>
      </c>
      <c r="J95">
        <f>IF(AND(표1_[[#This Row],[유지회차]]=표1_[[#This Row],[회차리스트]], OR(B95="해지", B95="실효", B95="만기", B95="사망")), 1, 0)</f>
        <v>0</v>
      </c>
    </row>
    <row r="96" spans="1:10" x14ac:dyDescent="0.3">
      <c r="A96">
        <v>2</v>
      </c>
      <c r="B96" t="s">
        <v>6</v>
      </c>
      <c r="C96" s="5">
        <v>44318</v>
      </c>
      <c r="D96" s="5">
        <v>46112</v>
      </c>
      <c r="E96" t="s">
        <v>24</v>
      </c>
      <c r="F96" t="s">
        <v>34</v>
      </c>
      <c r="G96" t="s">
        <v>44</v>
      </c>
      <c r="H96">
        <v>59</v>
      </c>
      <c r="I96">
        <v>39</v>
      </c>
      <c r="J96">
        <f>IF(AND(표1_[[#This Row],[유지회차]]=표1_[[#This Row],[회차리스트]], OR(B96="해지", B96="실효", B96="만기", B96="사망")), 1, 0)</f>
        <v>0</v>
      </c>
    </row>
    <row r="97" spans="1:10" x14ac:dyDescent="0.3">
      <c r="A97">
        <v>2</v>
      </c>
      <c r="B97" t="s">
        <v>6</v>
      </c>
      <c r="C97" s="5">
        <v>44318</v>
      </c>
      <c r="D97" s="5">
        <v>46112</v>
      </c>
      <c r="E97" t="s">
        <v>24</v>
      </c>
      <c r="F97" t="s">
        <v>34</v>
      </c>
      <c r="G97" t="s">
        <v>44</v>
      </c>
      <c r="H97">
        <v>59</v>
      </c>
      <c r="I97">
        <v>40</v>
      </c>
      <c r="J97">
        <f>IF(AND(표1_[[#This Row],[유지회차]]=표1_[[#This Row],[회차리스트]], OR(B97="해지", B97="실효", B97="만기", B97="사망")), 1, 0)</f>
        <v>0</v>
      </c>
    </row>
    <row r="98" spans="1:10" x14ac:dyDescent="0.3">
      <c r="A98">
        <v>2</v>
      </c>
      <c r="B98" t="s">
        <v>6</v>
      </c>
      <c r="C98" s="5">
        <v>44318</v>
      </c>
      <c r="D98" s="5">
        <v>46112</v>
      </c>
      <c r="E98" t="s">
        <v>24</v>
      </c>
      <c r="F98" t="s">
        <v>34</v>
      </c>
      <c r="G98" t="s">
        <v>44</v>
      </c>
      <c r="H98">
        <v>59</v>
      </c>
      <c r="I98">
        <v>41</v>
      </c>
      <c r="J98">
        <f>IF(AND(표1_[[#This Row],[유지회차]]=표1_[[#This Row],[회차리스트]], OR(B98="해지", B98="실효", B98="만기", B98="사망")), 1, 0)</f>
        <v>0</v>
      </c>
    </row>
    <row r="99" spans="1:10" x14ac:dyDescent="0.3">
      <c r="A99">
        <v>2</v>
      </c>
      <c r="B99" t="s">
        <v>6</v>
      </c>
      <c r="C99" s="5">
        <v>44318</v>
      </c>
      <c r="D99" s="5">
        <v>46112</v>
      </c>
      <c r="E99" t="s">
        <v>24</v>
      </c>
      <c r="F99" t="s">
        <v>34</v>
      </c>
      <c r="G99" t="s">
        <v>44</v>
      </c>
      <c r="H99">
        <v>59</v>
      </c>
      <c r="I99">
        <v>42</v>
      </c>
      <c r="J99">
        <f>IF(AND(표1_[[#This Row],[유지회차]]=표1_[[#This Row],[회차리스트]], OR(B99="해지", B99="실효", B99="만기", B99="사망")), 1, 0)</f>
        <v>0</v>
      </c>
    </row>
    <row r="100" spans="1:10" x14ac:dyDescent="0.3">
      <c r="A100">
        <v>2</v>
      </c>
      <c r="B100" t="s">
        <v>6</v>
      </c>
      <c r="C100" s="5">
        <v>44318</v>
      </c>
      <c r="D100" s="5">
        <v>46112</v>
      </c>
      <c r="E100" t="s">
        <v>24</v>
      </c>
      <c r="F100" t="s">
        <v>34</v>
      </c>
      <c r="G100" t="s">
        <v>44</v>
      </c>
      <c r="H100">
        <v>59</v>
      </c>
      <c r="I100">
        <v>43</v>
      </c>
      <c r="J100">
        <f>IF(AND(표1_[[#This Row],[유지회차]]=표1_[[#This Row],[회차리스트]], OR(B100="해지", B100="실효", B100="만기", B100="사망")), 1, 0)</f>
        <v>0</v>
      </c>
    </row>
    <row r="101" spans="1:10" x14ac:dyDescent="0.3">
      <c r="A101">
        <v>2</v>
      </c>
      <c r="B101" t="s">
        <v>6</v>
      </c>
      <c r="C101" s="5">
        <v>44318</v>
      </c>
      <c r="D101" s="5">
        <v>46112</v>
      </c>
      <c r="E101" t="s">
        <v>24</v>
      </c>
      <c r="F101" t="s">
        <v>34</v>
      </c>
      <c r="G101" t="s">
        <v>44</v>
      </c>
      <c r="H101">
        <v>59</v>
      </c>
      <c r="I101">
        <v>44</v>
      </c>
      <c r="J101">
        <f>IF(AND(표1_[[#This Row],[유지회차]]=표1_[[#This Row],[회차리스트]], OR(B101="해지", B101="실효", B101="만기", B101="사망")), 1, 0)</f>
        <v>0</v>
      </c>
    </row>
    <row r="102" spans="1:10" x14ac:dyDescent="0.3">
      <c r="A102">
        <v>2</v>
      </c>
      <c r="B102" t="s">
        <v>6</v>
      </c>
      <c r="C102" s="5">
        <v>44318</v>
      </c>
      <c r="D102" s="5">
        <v>46112</v>
      </c>
      <c r="E102" t="s">
        <v>24</v>
      </c>
      <c r="F102" t="s">
        <v>34</v>
      </c>
      <c r="G102" t="s">
        <v>44</v>
      </c>
      <c r="H102">
        <v>59</v>
      </c>
      <c r="I102">
        <v>45</v>
      </c>
      <c r="J102">
        <f>IF(AND(표1_[[#This Row],[유지회차]]=표1_[[#This Row],[회차리스트]], OR(B102="해지", B102="실효", B102="만기", B102="사망")), 1, 0)</f>
        <v>0</v>
      </c>
    </row>
    <row r="103" spans="1:10" x14ac:dyDescent="0.3">
      <c r="A103">
        <v>2</v>
      </c>
      <c r="B103" t="s">
        <v>6</v>
      </c>
      <c r="C103" s="5">
        <v>44318</v>
      </c>
      <c r="D103" s="5">
        <v>46112</v>
      </c>
      <c r="E103" t="s">
        <v>24</v>
      </c>
      <c r="F103" t="s">
        <v>34</v>
      </c>
      <c r="G103" t="s">
        <v>44</v>
      </c>
      <c r="H103">
        <v>59</v>
      </c>
      <c r="I103">
        <v>46</v>
      </c>
      <c r="J103">
        <f>IF(AND(표1_[[#This Row],[유지회차]]=표1_[[#This Row],[회차리스트]], OR(B103="해지", B103="실효", B103="만기", B103="사망")), 1, 0)</f>
        <v>0</v>
      </c>
    </row>
    <row r="104" spans="1:10" x14ac:dyDescent="0.3">
      <c r="A104">
        <v>2</v>
      </c>
      <c r="B104" t="s">
        <v>6</v>
      </c>
      <c r="C104" s="5">
        <v>44318</v>
      </c>
      <c r="D104" s="5">
        <v>46112</v>
      </c>
      <c r="E104" t="s">
        <v>24</v>
      </c>
      <c r="F104" t="s">
        <v>34</v>
      </c>
      <c r="G104" t="s">
        <v>44</v>
      </c>
      <c r="H104">
        <v>59</v>
      </c>
      <c r="I104">
        <v>47</v>
      </c>
      <c r="J104">
        <f>IF(AND(표1_[[#This Row],[유지회차]]=표1_[[#This Row],[회차리스트]], OR(B104="해지", B104="실효", B104="만기", B104="사망")), 1, 0)</f>
        <v>0</v>
      </c>
    </row>
    <row r="105" spans="1:10" x14ac:dyDescent="0.3">
      <c r="A105">
        <v>2</v>
      </c>
      <c r="B105" t="s">
        <v>6</v>
      </c>
      <c r="C105" s="5">
        <v>44318</v>
      </c>
      <c r="D105" s="5">
        <v>46112</v>
      </c>
      <c r="E105" t="s">
        <v>24</v>
      </c>
      <c r="F105" t="s">
        <v>34</v>
      </c>
      <c r="G105" t="s">
        <v>44</v>
      </c>
      <c r="H105">
        <v>59</v>
      </c>
      <c r="I105">
        <v>48</v>
      </c>
      <c r="J105">
        <f>IF(AND(표1_[[#This Row],[유지회차]]=표1_[[#This Row],[회차리스트]], OR(B105="해지", B105="실효", B105="만기", B105="사망")), 1, 0)</f>
        <v>0</v>
      </c>
    </row>
    <row r="106" spans="1:10" x14ac:dyDescent="0.3">
      <c r="A106">
        <v>2</v>
      </c>
      <c r="B106" t="s">
        <v>6</v>
      </c>
      <c r="C106" s="5">
        <v>44318</v>
      </c>
      <c r="D106" s="5">
        <v>46112</v>
      </c>
      <c r="E106" t="s">
        <v>24</v>
      </c>
      <c r="F106" t="s">
        <v>34</v>
      </c>
      <c r="G106" t="s">
        <v>44</v>
      </c>
      <c r="H106">
        <v>59</v>
      </c>
      <c r="I106">
        <v>49</v>
      </c>
      <c r="J106">
        <f>IF(AND(표1_[[#This Row],[유지회차]]=표1_[[#This Row],[회차리스트]], OR(B106="해지", B106="실효", B106="만기", B106="사망")), 1, 0)</f>
        <v>0</v>
      </c>
    </row>
    <row r="107" spans="1:10" x14ac:dyDescent="0.3">
      <c r="A107">
        <v>2</v>
      </c>
      <c r="B107" t="s">
        <v>6</v>
      </c>
      <c r="C107" s="5">
        <v>44318</v>
      </c>
      <c r="D107" s="5">
        <v>46112</v>
      </c>
      <c r="E107" t="s">
        <v>24</v>
      </c>
      <c r="F107" t="s">
        <v>34</v>
      </c>
      <c r="G107" t="s">
        <v>44</v>
      </c>
      <c r="H107">
        <v>59</v>
      </c>
      <c r="I107">
        <v>50</v>
      </c>
      <c r="J107">
        <f>IF(AND(표1_[[#This Row],[유지회차]]=표1_[[#This Row],[회차리스트]], OR(B107="해지", B107="실효", B107="만기", B107="사망")), 1, 0)</f>
        <v>0</v>
      </c>
    </row>
    <row r="108" spans="1:10" x14ac:dyDescent="0.3">
      <c r="A108">
        <v>2</v>
      </c>
      <c r="B108" t="s">
        <v>6</v>
      </c>
      <c r="C108" s="5">
        <v>44318</v>
      </c>
      <c r="D108" s="5">
        <v>46112</v>
      </c>
      <c r="E108" t="s">
        <v>24</v>
      </c>
      <c r="F108" t="s">
        <v>34</v>
      </c>
      <c r="G108" t="s">
        <v>44</v>
      </c>
      <c r="H108">
        <v>59</v>
      </c>
      <c r="I108">
        <v>51</v>
      </c>
      <c r="J108">
        <f>IF(AND(표1_[[#This Row],[유지회차]]=표1_[[#This Row],[회차리스트]], OR(B108="해지", B108="실효", B108="만기", B108="사망")), 1, 0)</f>
        <v>0</v>
      </c>
    </row>
    <row r="109" spans="1:10" x14ac:dyDescent="0.3">
      <c r="A109">
        <v>2</v>
      </c>
      <c r="B109" t="s">
        <v>6</v>
      </c>
      <c r="C109" s="5">
        <v>44318</v>
      </c>
      <c r="D109" s="5">
        <v>46112</v>
      </c>
      <c r="E109" t="s">
        <v>24</v>
      </c>
      <c r="F109" t="s">
        <v>34</v>
      </c>
      <c r="G109" t="s">
        <v>44</v>
      </c>
      <c r="H109">
        <v>59</v>
      </c>
      <c r="I109">
        <v>52</v>
      </c>
      <c r="J109">
        <f>IF(AND(표1_[[#This Row],[유지회차]]=표1_[[#This Row],[회차리스트]], OR(B109="해지", B109="실효", B109="만기", B109="사망")), 1, 0)</f>
        <v>0</v>
      </c>
    </row>
    <row r="110" spans="1:10" x14ac:dyDescent="0.3">
      <c r="A110">
        <v>2</v>
      </c>
      <c r="B110" t="s">
        <v>6</v>
      </c>
      <c r="C110" s="5">
        <v>44318</v>
      </c>
      <c r="D110" s="5">
        <v>46112</v>
      </c>
      <c r="E110" t="s">
        <v>24</v>
      </c>
      <c r="F110" t="s">
        <v>34</v>
      </c>
      <c r="G110" t="s">
        <v>44</v>
      </c>
      <c r="H110">
        <v>59</v>
      </c>
      <c r="I110">
        <v>53</v>
      </c>
      <c r="J110">
        <f>IF(AND(표1_[[#This Row],[유지회차]]=표1_[[#This Row],[회차리스트]], OR(B110="해지", B110="실효", B110="만기", B110="사망")), 1, 0)</f>
        <v>0</v>
      </c>
    </row>
    <row r="111" spans="1:10" x14ac:dyDescent="0.3">
      <c r="A111">
        <v>2</v>
      </c>
      <c r="B111" t="s">
        <v>6</v>
      </c>
      <c r="C111" s="5">
        <v>44318</v>
      </c>
      <c r="D111" s="5">
        <v>46112</v>
      </c>
      <c r="E111" t="s">
        <v>24</v>
      </c>
      <c r="F111" t="s">
        <v>34</v>
      </c>
      <c r="G111" t="s">
        <v>44</v>
      </c>
      <c r="H111">
        <v>59</v>
      </c>
      <c r="I111">
        <v>54</v>
      </c>
      <c r="J111">
        <f>IF(AND(표1_[[#This Row],[유지회차]]=표1_[[#This Row],[회차리스트]], OR(B111="해지", B111="실효", B111="만기", B111="사망")), 1, 0)</f>
        <v>0</v>
      </c>
    </row>
    <row r="112" spans="1:10" x14ac:dyDescent="0.3">
      <c r="A112">
        <v>2</v>
      </c>
      <c r="B112" t="s">
        <v>6</v>
      </c>
      <c r="C112" s="5">
        <v>44318</v>
      </c>
      <c r="D112" s="5">
        <v>46112</v>
      </c>
      <c r="E112" t="s">
        <v>24</v>
      </c>
      <c r="F112" t="s">
        <v>34</v>
      </c>
      <c r="G112" t="s">
        <v>44</v>
      </c>
      <c r="H112">
        <v>59</v>
      </c>
      <c r="I112">
        <v>55</v>
      </c>
      <c r="J112">
        <f>IF(AND(표1_[[#This Row],[유지회차]]=표1_[[#This Row],[회차리스트]], OR(B112="해지", B112="실효", B112="만기", B112="사망")), 1, 0)</f>
        <v>0</v>
      </c>
    </row>
    <row r="113" spans="1:10" x14ac:dyDescent="0.3">
      <c r="A113">
        <v>2</v>
      </c>
      <c r="B113" t="s">
        <v>6</v>
      </c>
      <c r="C113" s="5">
        <v>44318</v>
      </c>
      <c r="D113" s="5">
        <v>46112</v>
      </c>
      <c r="E113" t="s">
        <v>24</v>
      </c>
      <c r="F113" t="s">
        <v>34</v>
      </c>
      <c r="G113" t="s">
        <v>44</v>
      </c>
      <c r="H113">
        <v>59</v>
      </c>
      <c r="I113">
        <v>56</v>
      </c>
      <c r="J113">
        <f>IF(AND(표1_[[#This Row],[유지회차]]=표1_[[#This Row],[회차리스트]], OR(B113="해지", B113="실효", B113="만기", B113="사망")), 1, 0)</f>
        <v>0</v>
      </c>
    </row>
    <row r="114" spans="1:10" x14ac:dyDescent="0.3">
      <c r="A114">
        <v>2</v>
      </c>
      <c r="B114" t="s">
        <v>6</v>
      </c>
      <c r="C114" s="5">
        <v>44318</v>
      </c>
      <c r="D114" s="5">
        <v>46112</v>
      </c>
      <c r="E114" t="s">
        <v>24</v>
      </c>
      <c r="F114" t="s">
        <v>34</v>
      </c>
      <c r="G114" t="s">
        <v>44</v>
      </c>
      <c r="H114">
        <v>59</v>
      </c>
      <c r="I114">
        <v>57</v>
      </c>
      <c r="J114">
        <f>IF(AND(표1_[[#This Row],[유지회차]]=표1_[[#This Row],[회차리스트]], OR(B114="해지", B114="실효", B114="만기", B114="사망")), 1, 0)</f>
        <v>0</v>
      </c>
    </row>
    <row r="115" spans="1:10" x14ac:dyDescent="0.3">
      <c r="A115">
        <v>2</v>
      </c>
      <c r="B115" t="s">
        <v>6</v>
      </c>
      <c r="C115" s="5">
        <v>44318</v>
      </c>
      <c r="D115" s="5">
        <v>46112</v>
      </c>
      <c r="E115" t="s">
        <v>24</v>
      </c>
      <c r="F115" t="s">
        <v>34</v>
      </c>
      <c r="G115" t="s">
        <v>44</v>
      </c>
      <c r="H115">
        <v>59</v>
      </c>
      <c r="I115">
        <v>58</v>
      </c>
      <c r="J115">
        <f>IF(AND(표1_[[#This Row],[유지회차]]=표1_[[#This Row],[회차리스트]], OR(B115="해지", B115="실효", B115="만기", B115="사망")), 1, 0)</f>
        <v>0</v>
      </c>
    </row>
    <row r="116" spans="1:10" x14ac:dyDescent="0.3">
      <c r="A116">
        <v>2</v>
      </c>
      <c r="B116" t="s">
        <v>6</v>
      </c>
      <c r="C116" s="5">
        <v>44318</v>
      </c>
      <c r="D116" s="5">
        <v>46112</v>
      </c>
      <c r="E116" t="s">
        <v>24</v>
      </c>
      <c r="F116" t="s">
        <v>34</v>
      </c>
      <c r="G116" t="s">
        <v>44</v>
      </c>
      <c r="H116">
        <v>59</v>
      </c>
      <c r="I116">
        <v>59</v>
      </c>
      <c r="J116">
        <f>IF(AND(표1_[[#This Row],[유지회차]]=표1_[[#This Row],[회차리스트]], OR(B116="해지", B116="실효", B116="만기", B116="사망")), 1, 0)</f>
        <v>0</v>
      </c>
    </row>
    <row r="117" spans="1:10" x14ac:dyDescent="0.3">
      <c r="A117">
        <v>3</v>
      </c>
      <c r="B117" t="s">
        <v>4</v>
      </c>
      <c r="C117" s="5">
        <v>44961</v>
      </c>
      <c r="D117" s="5">
        <v>46019</v>
      </c>
      <c r="E117" t="s">
        <v>28</v>
      </c>
      <c r="F117" t="s">
        <v>32</v>
      </c>
      <c r="G117" t="s">
        <v>42</v>
      </c>
      <c r="H117">
        <v>35</v>
      </c>
      <c r="I117">
        <v>1</v>
      </c>
      <c r="J117">
        <f>IF(AND(표1_[[#This Row],[유지회차]]=표1_[[#This Row],[회차리스트]], OR(B117="해지", B117="실효", B117="만기", B117="사망")), 1, 0)</f>
        <v>0</v>
      </c>
    </row>
    <row r="118" spans="1:10" x14ac:dyDescent="0.3">
      <c r="A118">
        <v>3</v>
      </c>
      <c r="B118" t="s">
        <v>4</v>
      </c>
      <c r="C118" s="5">
        <v>44961</v>
      </c>
      <c r="D118" s="5">
        <v>46019</v>
      </c>
      <c r="E118" t="s">
        <v>28</v>
      </c>
      <c r="F118" t="s">
        <v>32</v>
      </c>
      <c r="G118" t="s">
        <v>42</v>
      </c>
      <c r="H118">
        <v>35</v>
      </c>
      <c r="I118">
        <v>2</v>
      </c>
      <c r="J118">
        <f>IF(AND(표1_[[#This Row],[유지회차]]=표1_[[#This Row],[회차리스트]], OR(B118="해지", B118="실효", B118="만기", B118="사망")), 1, 0)</f>
        <v>0</v>
      </c>
    </row>
    <row r="119" spans="1:10" x14ac:dyDescent="0.3">
      <c r="A119">
        <v>3</v>
      </c>
      <c r="B119" t="s">
        <v>4</v>
      </c>
      <c r="C119" s="5">
        <v>44961</v>
      </c>
      <c r="D119" s="5">
        <v>46019</v>
      </c>
      <c r="E119" t="s">
        <v>28</v>
      </c>
      <c r="F119" t="s">
        <v>32</v>
      </c>
      <c r="G119" t="s">
        <v>42</v>
      </c>
      <c r="H119">
        <v>35</v>
      </c>
      <c r="I119">
        <v>3</v>
      </c>
      <c r="J119">
        <f>IF(AND(표1_[[#This Row],[유지회차]]=표1_[[#This Row],[회차리스트]], OR(B119="해지", B119="실효", B119="만기", B119="사망")), 1, 0)</f>
        <v>0</v>
      </c>
    </row>
    <row r="120" spans="1:10" x14ac:dyDescent="0.3">
      <c r="A120">
        <v>3</v>
      </c>
      <c r="B120" t="s">
        <v>4</v>
      </c>
      <c r="C120" s="5">
        <v>44961</v>
      </c>
      <c r="D120" s="5">
        <v>46019</v>
      </c>
      <c r="E120" t="s">
        <v>28</v>
      </c>
      <c r="F120" t="s">
        <v>32</v>
      </c>
      <c r="G120" t="s">
        <v>42</v>
      </c>
      <c r="H120">
        <v>35</v>
      </c>
      <c r="I120">
        <v>4</v>
      </c>
      <c r="J120">
        <f>IF(AND(표1_[[#This Row],[유지회차]]=표1_[[#This Row],[회차리스트]], OR(B120="해지", B120="실효", B120="만기", B120="사망")), 1, 0)</f>
        <v>0</v>
      </c>
    </row>
    <row r="121" spans="1:10" x14ac:dyDescent="0.3">
      <c r="A121">
        <v>3</v>
      </c>
      <c r="B121" t="s">
        <v>4</v>
      </c>
      <c r="C121" s="5">
        <v>44961</v>
      </c>
      <c r="D121" s="5">
        <v>46019</v>
      </c>
      <c r="E121" t="s">
        <v>28</v>
      </c>
      <c r="F121" t="s">
        <v>32</v>
      </c>
      <c r="G121" t="s">
        <v>42</v>
      </c>
      <c r="H121">
        <v>35</v>
      </c>
      <c r="I121">
        <v>5</v>
      </c>
      <c r="J121">
        <f>IF(AND(표1_[[#This Row],[유지회차]]=표1_[[#This Row],[회차리스트]], OR(B121="해지", B121="실효", B121="만기", B121="사망")), 1, 0)</f>
        <v>0</v>
      </c>
    </row>
    <row r="122" spans="1:10" x14ac:dyDescent="0.3">
      <c r="A122">
        <v>3</v>
      </c>
      <c r="B122" t="s">
        <v>4</v>
      </c>
      <c r="C122" s="5">
        <v>44961</v>
      </c>
      <c r="D122" s="5">
        <v>46019</v>
      </c>
      <c r="E122" t="s">
        <v>28</v>
      </c>
      <c r="F122" t="s">
        <v>32</v>
      </c>
      <c r="G122" t="s">
        <v>42</v>
      </c>
      <c r="H122">
        <v>35</v>
      </c>
      <c r="I122">
        <v>6</v>
      </c>
      <c r="J122">
        <f>IF(AND(표1_[[#This Row],[유지회차]]=표1_[[#This Row],[회차리스트]], OR(B122="해지", B122="실효", B122="만기", B122="사망")), 1, 0)</f>
        <v>0</v>
      </c>
    </row>
    <row r="123" spans="1:10" x14ac:dyDescent="0.3">
      <c r="A123">
        <v>3</v>
      </c>
      <c r="B123" t="s">
        <v>4</v>
      </c>
      <c r="C123" s="5">
        <v>44961</v>
      </c>
      <c r="D123" s="5">
        <v>46019</v>
      </c>
      <c r="E123" t="s">
        <v>28</v>
      </c>
      <c r="F123" t="s">
        <v>32</v>
      </c>
      <c r="G123" t="s">
        <v>42</v>
      </c>
      <c r="H123">
        <v>35</v>
      </c>
      <c r="I123">
        <v>7</v>
      </c>
      <c r="J123">
        <f>IF(AND(표1_[[#This Row],[유지회차]]=표1_[[#This Row],[회차리스트]], OR(B123="해지", B123="실효", B123="만기", B123="사망")), 1, 0)</f>
        <v>0</v>
      </c>
    </row>
    <row r="124" spans="1:10" x14ac:dyDescent="0.3">
      <c r="A124">
        <v>3</v>
      </c>
      <c r="B124" t="s">
        <v>4</v>
      </c>
      <c r="C124" s="5">
        <v>44961</v>
      </c>
      <c r="D124" s="5">
        <v>46019</v>
      </c>
      <c r="E124" t="s">
        <v>28</v>
      </c>
      <c r="F124" t="s">
        <v>32</v>
      </c>
      <c r="G124" t="s">
        <v>42</v>
      </c>
      <c r="H124">
        <v>35</v>
      </c>
      <c r="I124">
        <v>8</v>
      </c>
      <c r="J124">
        <f>IF(AND(표1_[[#This Row],[유지회차]]=표1_[[#This Row],[회차리스트]], OR(B124="해지", B124="실효", B124="만기", B124="사망")), 1, 0)</f>
        <v>0</v>
      </c>
    </row>
    <row r="125" spans="1:10" x14ac:dyDescent="0.3">
      <c r="A125">
        <v>3</v>
      </c>
      <c r="B125" t="s">
        <v>4</v>
      </c>
      <c r="C125" s="5">
        <v>44961</v>
      </c>
      <c r="D125" s="5">
        <v>46019</v>
      </c>
      <c r="E125" t="s">
        <v>28</v>
      </c>
      <c r="F125" t="s">
        <v>32</v>
      </c>
      <c r="G125" t="s">
        <v>42</v>
      </c>
      <c r="H125">
        <v>35</v>
      </c>
      <c r="I125">
        <v>9</v>
      </c>
      <c r="J125">
        <f>IF(AND(표1_[[#This Row],[유지회차]]=표1_[[#This Row],[회차리스트]], OR(B125="해지", B125="실효", B125="만기", B125="사망")), 1, 0)</f>
        <v>0</v>
      </c>
    </row>
    <row r="126" spans="1:10" x14ac:dyDescent="0.3">
      <c r="A126">
        <v>3</v>
      </c>
      <c r="B126" t="s">
        <v>4</v>
      </c>
      <c r="C126" s="5">
        <v>44961</v>
      </c>
      <c r="D126" s="5">
        <v>46019</v>
      </c>
      <c r="E126" t="s">
        <v>28</v>
      </c>
      <c r="F126" t="s">
        <v>32</v>
      </c>
      <c r="G126" t="s">
        <v>42</v>
      </c>
      <c r="H126">
        <v>35</v>
      </c>
      <c r="I126">
        <v>10</v>
      </c>
      <c r="J126">
        <f>IF(AND(표1_[[#This Row],[유지회차]]=표1_[[#This Row],[회차리스트]], OR(B126="해지", B126="실효", B126="만기", B126="사망")), 1, 0)</f>
        <v>0</v>
      </c>
    </row>
    <row r="127" spans="1:10" x14ac:dyDescent="0.3">
      <c r="A127">
        <v>3</v>
      </c>
      <c r="B127" t="s">
        <v>4</v>
      </c>
      <c r="C127" s="5">
        <v>44961</v>
      </c>
      <c r="D127" s="5">
        <v>46019</v>
      </c>
      <c r="E127" t="s">
        <v>28</v>
      </c>
      <c r="F127" t="s">
        <v>32</v>
      </c>
      <c r="G127" t="s">
        <v>42</v>
      </c>
      <c r="H127">
        <v>35</v>
      </c>
      <c r="I127">
        <v>11</v>
      </c>
      <c r="J127">
        <f>IF(AND(표1_[[#This Row],[유지회차]]=표1_[[#This Row],[회차리스트]], OR(B127="해지", B127="실효", B127="만기", B127="사망")), 1, 0)</f>
        <v>0</v>
      </c>
    </row>
    <row r="128" spans="1:10" x14ac:dyDescent="0.3">
      <c r="A128">
        <v>3</v>
      </c>
      <c r="B128" t="s">
        <v>4</v>
      </c>
      <c r="C128" s="5">
        <v>44961</v>
      </c>
      <c r="D128" s="5">
        <v>46019</v>
      </c>
      <c r="E128" t="s">
        <v>28</v>
      </c>
      <c r="F128" t="s">
        <v>32</v>
      </c>
      <c r="G128" t="s">
        <v>42</v>
      </c>
      <c r="H128">
        <v>35</v>
      </c>
      <c r="I128">
        <v>12</v>
      </c>
      <c r="J128">
        <f>IF(AND(표1_[[#This Row],[유지회차]]=표1_[[#This Row],[회차리스트]], OR(B128="해지", B128="실효", B128="만기", B128="사망")), 1, 0)</f>
        <v>0</v>
      </c>
    </row>
    <row r="129" spans="1:10" x14ac:dyDescent="0.3">
      <c r="A129">
        <v>3</v>
      </c>
      <c r="B129" t="s">
        <v>4</v>
      </c>
      <c r="C129" s="5">
        <v>44961</v>
      </c>
      <c r="D129" s="5">
        <v>46019</v>
      </c>
      <c r="E129" t="s">
        <v>28</v>
      </c>
      <c r="F129" t="s">
        <v>32</v>
      </c>
      <c r="G129" t="s">
        <v>42</v>
      </c>
      <c r="H129">
        <v>35</v>
      </c>
      <c r="I129">
        <v>13</v>
      </c>
      <c r="J129">
        <f>IF(AND(표1_[[#This Row],[유지회차]]=표1_[[#This Row],[회차리스트]], OR(B129="해지", B129="실효", B129="만기", B129="사망")), 1, 0)</f>
        <v>0</v>
      </c>
    </row>
    <row r="130" spans="1:10" x14ac:dyDescent="0.3">
      <c r="A130">
        <v>3</v>
      </c>
      <c r="B130" t="s">
        <v>4</v>
      </c>
      <c r="C130" s="5">
        <v>44961</v>
      </c>
      <c r="D130" s="5">
        <v>46019</v>
      </c>
      <c r="E130" t="s">
        <v>28</v>
      </c>
      <c r="F130" t="s">
        <v>32</v>
      </c>
      <c r="G130" t="s">
        <v>42</v>
      </c>
      <c r="H130">
        <v>35</v>
      </c>
      <c r="I130">
        <v>14</v>
      </c>
      <c r="J130">
        <f>IF(AND(표1_[[#This Row],[유지회차]]=표1_[[#This Row],[회차리스트]], OR(B130="해지", B130="실효", B130="만기", B130="사망")), 1, 0)</f>
        <v>0</v>
      </c>
    </row>
    <row r="131" spans="1:10" x14ac:dyDescent="0.3">
      <c r="A131">
        <v>3</v>
      </c>
      <c r="B131" t="s">
        <v>4</v>
      </c>
      <c r="C131" s="5">
        <v>44961</v>
      </c>
      <c r="D131" s="5">
        <v>46019</v>
      </c>
      <c r="E131" t="s">
        <v>28</v>
      </c>
      <c r="F131" t="s">
        <v>32</v>
      </c>
      <c r="G131" t="s">
        <v>42</v>
      </c>
      <c r="H131">
        <v>35</v>
      </c>
      <c r="I131">
        <v>15</v>
      </c>
      <c r="J131">
        <f>IF(AND(표1_[[#This Row],[유지회차]]=표1_[[#This Row],[회차리스트]], OR(B131="해지", B131="실효", B131="만기", B131="사망")), 1, 0)</f>
        <v>0</v>
      </c>
    </row>
    <row r="132" spans="1:10" x14ac:dyDescent="0.3">
      <c r="A132">
        <v>3</v>
      </c>
      <c r="B132" t="s">
        <v>4</v>
      </c>
      <c r="C132" s="5">
        <v>44961</v>
      </c>
      <c r="D132" s="5">
        <v>46019</v>
      </c>
      <c r="E132" t="s">
        <v>28</v>
      </c>
      <c r="F132" t="s">
        <v>32</v>
      </c>
      <c r="G132" t="s">
        <v>42</v>
      </c>
      <c r="H132">
        <v>35</v>
      </c>
      <c r="I132">
        <v>16</v>
      </c>
      <c r="J132">
        <f>IF(AND(표1_[[#This Row],[유지회차]]=표1_[[#This Row],[회차리스트]], OR(B132="해지", B132="실효", B132="만기", B132="사망")), 1, 0)</f>
        <v>0</v>
      </c>
    </row>
    <row r="133" spans="1:10" x14ac:dyDescent="0.3">
      <c r="A133">
        <v>3</v>
      </c>
      <c r="B133" t="s">
        <v>4</v>
      </c>
      <c r="C133" s="5">
        <v>44961</v>
      </c>
      <c r="D133" s="5">
        <v>46019</v>
      </c>
      <c r="E133" t="s">
        <v>28</v>
      </c>
      <c r="F133" t="s">
        <v>32</v>
      </c>
      <c r="G133" t="s">
        <v>42</v>
      </c>
      <c r="H133">
        <v>35</v>
      </c>
      <c r="I133">
        <v>17</v>
      </c>
      <c r="J133">
        <f>IF(AND(표1_[[#This Row],[유지회차]]=표1_[[#This Row],[회차리스트]], OR(B133="해지", B133="실효", B133="만기", B133="사망")), 1, 0)</f>
        <v>0</v>
      </c>
    </row>
    <row r="134" spans="1:10" x14ac:dyDescent="0.3">
      <c r="A134">
        <v>3</v>
      </c>
      <c r="B134" t="s">
        <v>4</v>
      </c>
      <c r="C134" s="5">
        <v>44961</v>
      </c>
      <c r="D134" s="5">
        <v>46019</v>
      </c>
      <c r="E134" t="s">
        <v>28</v>
      </c>
      <c r="F134" t="s">
        <v>32</v>
      </c>
      <c r="G134" t="s">
        <v>42</v>
      </c>
      <c r="H134">
        <v>35</v>
      </c>
      <c r="I134">
        <v>18</v>
      </c>
      <c r="J134">
        <f>IF(AND(표1_[[#This Row],[유지회차]]=표1_[[#This Row],[회차리스트]], OR(B134="해지", B134="실효", B134="만기", B134="사망")), 1, 0)</f>
        <v>0</v>
      </c>
    </row>
    <row r="135" spans="1:10" x14ac:dyDescent="0.3">
      <c r="A135">
        <v>3</v>
      </c>
      <c r="B135" t="s">
        <v>4</v>
      </c>
      <c r="C135" s="5">
        <v>44961</v>
      </c>
      <c r="D135" s="5">
        <v>46019</v>
      </c>
      <c r="E135" t="s">
        <v>28</v>
      </c>
      <c r="F135" t="s">
        <v>32</v>
      </c>
      <c r="G135" t="s">
        <v>42</v>
      </c>
      <c r="H135">
        <v>35</v>
      </c>
      <c r="I135">
        <v>19</v>
      </c>
      <c r="J135">
        <f>IF(AND(표1_[[#This Row],[유지회차]]=표1_[[#This Row],[회차리스트]], OR(B135="해지", B135="실효", B135="만기", B135="사망")), 1, 0)</f>
        <v>0</v>
      </c>
    </row>
    <row r="136" spans="1:10" x14ac:dyDescent="0.3">
      <c r="A136">
        <v>3</v>
      </c>
      <c r="B136" t="s">
        <v>4</v>
      </c>
      <c r="C136" s="5">
        <v>44961</v>
      </c>
      <c r="D136" s="5">
        <v>46019</v>
      </c>
      <c r="E136" t="s">
        <v>28</v>
      </c>
      <c r="F136" t="s">
        <v>32</v>
      </c>
      <c r="G136" t="s">
        <v>42</v>
      </c>
      <c r="H136">
        <v>35</v>
      </c>
      <c r="I136">
        <v>20</v>
      </c>
      <c r="J136">
        <f>IF(AND(표1_[[#This Row],[유지회차]]=표1_[[#This Row],[회차리스트]], OR(B136="해지", B136="실효", B136="만기", B136="사망")), 1, 0)</f>
        <v>0</v>
      </c>
    </row>
    <row r="137" spans="1:10" x14ac:dyDescent="0.3">
      <c r="A137">
        <v>3</v>
      </c>
      <c r="B137" t="s">
        <v>4</v>
      </c>
      <c r="C137" s="5">
        <v>44961</v>
      </c>
      <c r="D137" s="5">
        <v>46019</v>
      </c>
      <c r="E137" t="s">
        <v>28</v>
      </c>
      <c r="F137" t="s">
        <v>32</v>
      </c>
      <c r="G137" t="s">
        <v>42</v>
      </c>
      <c r="H137">
        <v>35</v>
      </c>
      <c r="I137">
        <v>21</v>
      </c>
      <c r="J137">
        <f>IF(AND(표1_[[#This Row],[유지회차]]=표1_[[#This Row],[회차리스트]], OR(B137="해지", B137="실효", B137="만기", B137="사망")), 1, 0)</f>
        <v>0</v>
      </c>
    </row>
    <row r="138" spans="1:10" x14ac:dyDescent="0.3">
      <c r="A138">
        <v>3</v>
      </c>
      <c r="B138" t="s">
        <v>4</v>
      </c>
      <c r="C138" s="5">
        <v>44961</v>
      </c>
      <c r="D138" s="5">
        <v>46019</v>
      </c>
      <c r="E138" t="s">
        <v>28</v>
      </c>
      <c r="F138" t="s">
        <v>32</v>
      </c>
      <c r="G138" t="s">
        <v>42</v>
      </c>
      <c r="H138">
        <v>35</v>
      </c>
      <c r="I138">
        <v>22</v>
      </c>
      <c r="J138">
        <f>IF(AND(표1_[[#This Row],[유지회차]]=표1_[[#This Row],[회차리스트]], OR(B138="해지", B138="실효", B138="만기", B138="사망")), 1, 0)</f>
        <v>0</v>
      </c>
    </row>
    <row r="139" spans="1:10" x14ac:dyDescent="0.3">
      <c r="A139">
        <v>3</v>
      </c>
      <c r="B139" t="s">
        <v>4</v>
      </c>
      <c r="C139" s="5">
        <v>44961</v>
      </c>
      <c r="D139" s="5">
        <v>46019</v>
      </c>
      <c r="E139" t="s">
        <v>28</v>
      </c>
      <c r="F139" t="s">
        <v>32</v>
      </c>
      <c r="G139" t="s">
        <v>42</v>
      </c>
      <c r="H139">
        <v>35</v>
      </c>
      <c r="I139">
        <v>23</v>
      </c>
      <c r="J139">
        <f>IF(AND(표1_[[#This Row],[유지회차]]=표1_[[#This Row],[회차리스트]], OR(B139="해지", B139="실효", B139="만기", B139="사망")), 1, 0)</f>
        <v>0</v>
      </c>
    </row>
    <row r="140" spans="1:10" x14ac:dyDescent="0.3">
      <c r="A140">
        <v>3</v>
      </c>
      <c r="B140" t="s">
        <v>4</v>
      </c>
      <c r="C140" s="5">
        <v>44961</v>
      </c>
      <c r="D140" s="5">
        <v>46019</v>
      </c>
      <c r="E140" t="s">
        <v>28</v>
      </c>
      <c r="F140" t="s">
        <v>32</v>
      </c>
      <c r="G140" t="s">
        <v>42</v>
      </c>
      <c r="H140">
        <v>35</v>
      </c>
      <c r="I140">
        <v>24</v>
      </c>
      <c r="J140">
        <f>IF(AND(표1_[[#This Row],[유지회차]]=표1_[[#This Row],[회차리스트]], OR(B140="해지", B140="실효", B140="만기", B140="사망")), 1, 0)</f>
        <v>0</v>
      </c>
    </row>
    <row r="141" spans="1:10" x14ac:dyDescent="0.3">
      <c r="A141">
        <v>3</v>
      </c>
      <c r="B141" t="s">
        <v>4</v>
      </c>
      <c r="C141" s="5">
        <v>44961</v>
      </c>
      <c r="D141" s="5">
        <v>46019</v>
      </c>
      <c r="E141" t="s">
        <v>28</v>
      </c>
      <c r="F141" t="s">
        <v>32</v>
      </c>
      <c r="G141" t="s">
        <v>42</v>
      </c>
      <c r="H141">
        <v>35</v>
      </c>
      <c r="I141">
        <v>25</v>
      </c>
      <c r="J141">
        <f>IF(AND(표1_[[#This Row],[유지회차]]=표1_[[#This Row],[회차리스트]], OR(B141="해지", B141="실효", B141="만기", B141="사망")), 1, 0)</f>
        <v>0</v>
      </c>
    </row>
    <row r="142" spans="1:10" x14ac:dyDescent="0.3">
      <c r="A142">
        <v>3</v>
      </c>
      <c r="B142" t="s">
        <v>4</v>
      </c>
      <c r="C142" s="5">
        <v>44961</v>
      </c>
      <c r="D142" s="5">
        <v>46019</v>
      </c>
      <c r="E142" t="s">
        <v>28</v>
      </c>
      <c r="F142" t="s">
        <v>32</v>
      </c>
      <c r="G142" t="s">
        <v>42</v>
      </c>
      <c r="H142">
        <v>35</v>
      </c>
      <c r="I142">
        <v>26</v>
      </c>
      <c r="J142">
        <f>IF(AND(표1_[[#This Row],[유지회차]]=표1_[[#This Row],[회차리스트]], OR(B142="해지", B142="실효", B142="만기", B142="사망")), 1, 0)</f>
        <v>0</v>
      </c>
    </row>
    <row r="143" spans="1:10" x14ac:dyDescent="0.3">
      <c r="A143">
        <v>3</v>
      </c>
      <c r="B143" t="s">
        <v>4</v>
      </c>
      <c r="C143" s="5">
        <v>44961</v>
      </c>
      <c r="D143" s="5">
        <v>46019</v>
      </c>
      <c r="E143" t="s">
        <v>28</v>
      </c>
      <c r="F143" t="s">
        <v>32</v>
      </c>
      <c r="G143" t="s">
        <v>42</v>
      </c>
      <c r="H143">
        <v>35</v>
      </c>
      <c r="I143">
        <v>27</v>
      </c>
      <c r="J143">
        <f>IF(AND(표1_[[#This Row],[유지회차]]=표1_[[#This Row],[회차리스트]], OR(B143="해지", B143="실효", B143="만기", B143="사망")), 1, 0)</f>
        <v>0</v>
      </c>
    </row>
    <row r="144" spans="1:10" x14ac:dyDescent="0.3">
      <c r="A144">
        <v>3</v>
      </c>
      <c r="B144" t="s">
        <v>4</v>
      </c>
      <c r="C144" s="5">
        <v>44961</v>
      </c>
      <c r="D144" s="5">
        <v>46019</v>
      </c>
      <c r="E144" t="s">
        <v>28</v>
      </c>
      <c r="F144" t="s">
        <v>32</v>
      </c>
      <c r="G144" t="s">
        <v>42</v>
      </c>
      <c r="H144">
        <v>35</v>
      </c>
      <c r="I144">
        <v>28</v>
      </c>
      <c r="J144">
        <f>IF(AND(표1_[[#This Row],[유지회차]]=표1_[[#This Row],[회차리스트]], OR(B144="해지", B144="실효", B144="만기", B144="사망")), 1, 0)</f>
        <v>0</v>
      </c>
    </row>
    <row r="145" spans="1:10" x14ac:dyDescent="0.3">
      <c r="A145">
        <v>3</v>
      </c>
      <c r="B145" t="s">
        <v>4</v>
      </c>
      <c r="C145" s="5">
        <v>44961</v>
      </c>
      <c r="D145" s="5">
        <v>46019</v>
      </c>
      <c r="E145" t="s">
        <v>28</v>
      </c>
      <c r="F145" t="s">
        <v>32</v>
      </c>
      <c r="G145" t="s">
        <v>42</v>
      </c>
      <c r="H145">
        <v>35</v>
      </c>
      <c r="I145">
        <v>29</v>
      </c>
      <c r="J145">
        <f>IF(AND(표1_[[#This Row],[유지회차]]=표1_[[#This Row],[회차리스트]], OR(B145="해지", B145="실효", B145="만기", B145="사망")), 1, 0)</f>
        <v>0</v>
      </c>
    </row>
    <row r="146" spans="1:10" x14ac:dyDescent="0.3">
      <c r="A146">
        <v>3</v>
      </c>
      <c r="B146" t="s">
        <v>4</v>
      </c>
      <c r="C146" s="5">
        <v>44961</v>
      </c>
      <c r="D146" s="5">
        <v>46019</v>
      </c>
      <c r="E146" t="s">
        <v>28</v>
      </c>
      <c r="F146" t="s">
        <v>32</v>
      </c>
      <c r="G146" t="s">
        <v>42</v>
      </c>
      <c r="H146">
        <v>35</v>
      </c>
      <c r="I146">
        <v>30</v>
      </c>
      <c r="J146">
        <f>IF(AND(표1_[[#This Row],[유지회차]]=표1_[[#This Row],[회차리스트]], OR(B146="해지", B146="실효", B146="만기", B146="사망")), 1, 0)</f>
        <v>0</v>
      </c>
    </row>
    <row r="147" spans="1:10" x14ac:dyDescent="0.3">
      <c r="A147">
        <v>3</v>
      </c>
      <c r="B147" t="s">
        <v>4</v>
      </c>
      <c r="C147" s="5">
        <v>44961</v>
      </c>
      <c r="D147" s="5">
        <v>46019</v>
      </c>
      <c r="E147" t="s">
        <v>28</v>
      </c>
      <c r="F147" t="s">
        <v>32</v>
      </c>
      <c r="G147" t="s">
        <v>42</v>
      </c>
      <c r="H147">
        <v>35</v>
      </c>
      <c r="I147">
        <v>31</v>
      </c>
      <c r="J147">
        <f>IF(AND(표1_[[#This Row],[유지회차]]=표1_[[#This Row],[회차리스트]], OR(B147="해지", B147="실효", B147="만기", B147="사망")), 1, 0)</f>
        <v>0</v>
      </c>
    </row>
    <row r="148" spans="1:10" x14ac:dyDescent="0.3">
      <c r="A148">
        <v>3</v>
      </c>
      <c r="B148" t="s">
        <v>4</v>
      </c>
      <c r="C148" s="5">
        <v>44961</v>
      </c>
      <c r="D148" s="5">
        <v>46019</v>
      </c>
      <c r="E148" t="s">
        <v>28</v>
      </c>
      <c r="F148" t="s">
        <v>32</v>
      </c>
      <c r="G148" t="s">
        <v>42</v>
      </c>
      <c r="H148">
        <v>35</v>
      </c>
      <c r="I148">
        <v>32</v>
      </c>
      <c r="J148">
        <f>IF(AND(표1_[[#This Row],[유지회차]]=표1_[[#This Row],[회차리스트]], OR(B148="해지", B148="실효", B148="만기", B148="사망")), 1, 0)</f>
        <v>0</v>
      </c>
    </row>
    <row r="149" spans="1:10" x14ac:dyDescent="0.3">
      <c r="A149">
        <v>3</v>
      </c>
      <c r="B149" t="s">
        <v>4</v>
      </c>
      <c r="C149" s="5">
        <v>44961</v>
      </c>
      <c r="D149" s="5">
        <v>46019</v>
      </c>
      <c r="E149" t="s">
        <v>28</v>
      </c>
      <c r="F149" t="s">
        <v>32</v>
      </c>
      <c r="G149" t="s">
        <v>42</v>
      </c>
      <c r="H149">
        <v>35</v>
      </c>
      <c r="I149">
        <v>33</v>
      </c>
      <c r="J149">
        <f>IF(AND(표1_[[#This Row],[유지회차]]=표1_[[#This Row],[회차리스트]], OR(B149="해지", B149="실효", B149="만기", B149="사망")), 1, 0)</f>
        <v>0</v>
      </c>
    </row>
    <row r="150" spans="1:10" x14ac:dyDescent="0.3">
      <c r="A150">
        <v>3</v>
      </c>
      <c r="B150" t="s">
        <v>4</v>
      </c>
      <c r="C150" s="5">
        <v>44961</v>
      </c>
      <c r="D150" s="5">
        <v>46019</v>
      </c>
      <c r="E150" t="s">
        <v>28</v>
      </c>
      <c r="F150" t="s">
        <v>32</v>
      </c>
      <c r="G150" t="s">
        <v>42</v>
      </c>
      <c r="H150">
        <v>35</v>
      </c>
      <c r="I150">
        <v>34</v>
      </c>
      <c r="J150">
        <f>IF(AND(표1_[[#This Row],[유지회차]]=표1_[[#This Row],[회차리스트]], OR(B150="해지", B150="실효", B150="만기", B150="사망")), 1, 0)</f>
        <v>0</v>
      </c>
    </row>
    <row r="151" spans="1:10" x14ac:dyDescent="0.3">
      <c r="A151">
        <v>3</v>
      </c>
      <c r="B151" t="s">
        <v>4</v>
      </c>
      <c r="C151" s="5">
        <v>44961</v>
      </c>
      <c r="D151" s="5">
        <v>46019</v>
      </c>
      <c r="E151" t="s">
        <v>28</v>
      </c>
      <c r="F151" t="s">
        <v>32</v>
      </c>
      <c r="G151" t="s">
        <v>42</v>
      </c>
      <c r="H151">
        <v>35</v>
      </c>
      <c r="I151">
        <v>35</v>
      </c>
      <c r="J151">
        <f>IF(AND(표1_[[#This Row],[유지회차]]=표1_[[#This Row],[회차리스트]], OR(B151="해지", B151="실효", B151="만기", B151="사망")), 1, 0)</f>
        <v>1</v>
      </c>
    </row>
    <row r="152" spans="1:10" x14ac:dyDescent="0.3">
      <c r="A152">
        <v>4</v>
      </c>
      <c r="B152" t="s">
        <v>8</v>
      </c>
      <c r="C152" s="5">
        <v>43952</v>
      </c>
      <c r="D152" s="5">
        <v>45366</v>
      </c>
      <c r="E152" t="s">
        <v>30</v>
      </c>
      <c r="F152" t="s">
        <v>36</v>
      </c>
      <c r="G152" t="s">
        <v>42</v>
      </c>
      <c r="H152">
        <v>47</v>
      </c>
      <c r="I152">
        <v>1</v>
      </c>
      <c r="J152">
        <f>IF(AND(표1_[[#This Row],[유지회차]]=표1_[[#This Row],[회차리스트]], OR(B152="해지", B152="실효", B152="만기", B152="사망")), 1, 0)</f>
        <v>0</v>
      </c>
    </row>
    <row r="153" spans="1:10" x14ac:dyDescent="0.3">
      <c r="A153">
        <v>4</v>
      </c>
      <c r="B153" t="s">
        <v>8</v>
      </c>
      <c r="C153" s="5">
        <v>43952</v>
      </c>
      <c r="D153" s="5">
        <v>45366</v>
      </c>
      <c r="E153" t="s">
        <v>30</v>
      </c>
      <c r="F153" t="s">
        <v>36</v>
      </c>
      <c r="G153" t="s">
        <v>42</v>
      </c>
      <c r="H153">
        <v>47</v>
      </c>
      <c r="I153">
        <v>2</v>
      </c>
      <c r="J153">
        <f>IF(AND(표1_[[#This Row],[유지회차]]=표1_[[#This Row],[회차리스트]], OR(B153="해지", B153="실효", B153="만기", B153="사망")), 1, 0)</f>
        <v>0</v>
      </c>
    </row>
    <row r="154" spans="1:10" x14ac:dyDescent="0.3">
      <c r="A154">
        <v>4</v>
      </c>
      <c r="B154" t="s">
        <v>8</v>
      </c>
      <c r="C154" s="5">
        <v>43952</v>
      </c>
      <c r="D154" s="5">
        <v>45366</v>
      </c>
      <c r="E154" t="s">
        <v>30</v>
      </c>
      <c r="F154" t="s">
        <v>36</v>
      </c>
      <c r="G154" t="s">
        <v>42</v>
      </c>
      <c r="H154">
        <v>47</v>
      </c>
      <c r="I154">
        <v>3</v>
      </c>
      <c r="J154">
        <f>IF(AND(표1_[[#This Row],[유지회차]]=표1_[[#This Row],[회차리스트]], OR(B154="해지", B154="실효", B154="만기", B154="사망")), 1, 0)</f>
        <v>0</v>
      </c>
    </row>
    <row r="155" spans="1:10" x14ac:dyDescent="0.3">
      <c r="A155">
        <v>4</v>
      </c>
      <c r="B155" t="s">
        <v>8</v>
      </c>
      <c r="C155" s="5">
        <v>43952</v>
      </c>
      <c r="D155" s="5">
        <v>45366</v>
      </c>
      <c r="E155" t="s">
        <v>30</v>
      </c>
      <c r="F155" t="s">
        <v>36</v>
      </c>
      <c r="G155" t="s">
        <v>42</v>
      </c>
      <c r="H155">
        <v>47</v>
      </c>
      <c r="I155">
        <v>4</v>
      </c>
      <c r="J155">
        <f>IF(AND(표1_[[#This Row],[유지회차]]=표1_[[#This Row],[회차리스트]], OR(B155="해지", B155="실효", B155="만기", B155="사망")), 1, 0)</f>
        <v>0</v>
      </c>
    </row>
    <row r="156" spans="1:10" x14ac:dyDescent="0.3">
      <c r="A156">
        <v>4</v>
      </c>
      <c r="B156" t="s">
        <v>8</v>
      </c>
      <c r="C156" s="5">
        <v>43952</v>
      </c>
      <c r="D156" s="5">
        <v>45366</v>
      </c>
      <c r="E156" t="s">
        <v>30</v>
      </c>
      <c r="F156" t="s">
        <v>36</v>
      </c>
      <c r="G156" t="s">
        <v>42</v>
      </c>
      <c r="H156">
        <v>47</v>
      </c>
      <c r="I156">
        <v>5</v>
      </c>
      <c r="J156">
        <f>IF(AND(표1_[[#This Row],[유지회차]]=표1_[[#This Row],[회차리스트]], OR(B156="해지", B156="실효", B156="만기", B156="사망")), 1, 0)</f>
        <v>0</v>
      </c>
    </row>
    <row r="157" spans="1:10" x14ac:dyDescent="0.3">
      <c r="A157">
        <v>4</v>
      </c>
      <c r="B157" t="s">
        <v>8</v>
      </c>
      <c r="C157" s="5">
        <v>43952</v>
      </c>
      <c r="D157" s="5">
        <v>45366</v>
      </c>
      <c r="E157" t="s">
        <v>30</v>
      </c>
      <c r="F157" t="s">
        <v>36</v>
      </c>
      <c r="G157" t="s">
        <v>42</v>
      </c>
      <c r="H157">
        <v>47</v>
      </c>
      <c r="I157">
        <v>6</v>
      </c>
      <c r="J157">
        <f>IF(AND(표1_[[#This Row],[유지회차]]=표1_[[#This Row],[회차리스트]], OR(B157="해지", B157="실효", B157="만기", B157="사망")), 1, 0)</f>
        <v>0</v>
      </c>
    </row>
    <row r="158" spans="1:10" x14ac:dyDescent="0.3">
      <c r="A158">
        <v>4</v>
      </c>
      <c r="B158" t="s">
        <v>8</v>
      </c>
      <c r="C158" s="5">
        <v>43952</v>
      </c>
      <c r="D158" s="5">
        <v>45366</v>
      </c>
      <c r="E158" t="s">
        <v>30</v>
      </c>
      <c r="F158" t="s">
        <v>36</v>
      </c>
      <c r="G158" t="s">
        <v>42</v>
      </c>
      <c r="H158">
        <v>47</v>
      </c>
      <c r="I158">
        <v>7</v>
      </c>
      <c r="J158">
        <f>IF(AND(표1_[[#This Row],[유지회차]]=표1_[[#This Row],[회차리스트]], OR(B158="해지", B158="실효", B158="만기", B158="사망")), 1, 0)</f>
        <v>0</v>
      </c>
    </row>
    <row r="159" spans="1:10" x14ac:dyDescent="0.3">
      <c r="A159">
        <v>4</v>
      </c>
      <c r="B159" t="s">
        <v>8</v>
      </c>
      <c r="C159" s="5">
        <v>43952</v>
      </c>
      <c r="D159" s="5">
        <v>45366</v>
      </c>
      <c r="E159" t="s">
        <v>30</v>
      </c>
      <c r="F159" t="s">
        <v>36</v>
      </c>
      <c r="G159" t="s">
        <v>42</v>
      </c>
      <c r="H159">
        <v>47</v>
      </c>
      <c r="I159">
        <v>8</v>
      </c>
      <c r="J159">
        <f>IF(AND(표1_[[#This Row],[유지회차]]=표1_[[#This Row],[회차리스트]], OR(B159="해지", B159="실효", B159="만기", B159="사망")), 1, 0)</f>
        <v>0</v>
      </c>
    </row>
    <row r="160" spans="1:10" x14ac:dyDescent="0.3">
      <c r="A160">
        <v>4</v>
      </c>
      <c r="B160" t="s">
        <v>8</v>
      </c>
      <c r="C160" s="5">
        <v>43952</v>
      </c>
      <c r="D160" s="5">
        <v>45366</v>
      </c>
      <c r="E160" t="s">
        <v>30</v>
      </c>
      <c r="F160" t="s">
        <v>36</v>
      </c>
      <c r="G160" t="s">
        <v>42</v>
      </c>
      <c r="H160">
        <v>47</v>
      </c>
      <c r="I160">
        <v>9</v>
      </c>
      <c r="J160">
        <f>IF(AND(표1_[[#This Row],[유지회차]]=표1_[[#This Row],[회차리스트]], OR(B160="해지", B160="실효", B160="만기", B160="사망")), 1, 0)</f>
        <v>0</v>
      </c>
    </row>
    <row r="161" spans="1:10" x14ac:dyDescent="0.3">
      <c r="A161">
        <v>4</v>
      </c>
      <c r="B161" t="s">
        <v>8</v>
      </c>
      <c r="C161" s="5">
        <v>43952</v>
      </c>
      <c r="D161" s="5">
        <v>45366</v>
      </c>
      <c r="E161" t="s">
        <v>30</v>
      </c>
      <c r="F161" t="s">
        <v>36</v>
      </c>
      <c r="G161" t="s">
        <v>42</v>
      </c>
      <c r="H161">
        <v>47</v>
      </c>
      <c r="I161">
        <v>10</v>
      </c>
      <c r="J161">
        <f>IF(AND(표1_[[#This Row],[유지회차]]=표1_[[#This Row],[회차리스트]], OR(B161="해지", B161="실효", B161="만기", B161="사망")), 1, 0)</f>
        <v>0</v>
      </c>
    </row>
    <row r="162" spans="1:10" x14ac:dyDescent="0.3">
      <c r="A162">
        <v>4</v>
      </c>
      <c r="B162" t="s">
        <v>8</v>
      </c>
      <c r="C162" s="5">
        <v>43952</v>
      </c>
      <c r="D162" s="5">
        <v>45366</v>
      </c>
      <c r="E162" t="s">
        <v>30</v>
      </c>
      <c r="F162" t="s">
        <v>36</v>
      </c>
      <c r="G162" t="s">
        <v>42</v>
      </c>
      <c r="H162">
        <v>47</v>
      </c>
      <c r="I162">
        <v>11</v>
      </c>
      <c r="J162">
        <f>IF(AND(표1_[[#This Row],[유지회차]]=표1_[[#This Row],[회차리스트]], OR(B162="해지", B162="실효", B162="만기", B162="사망")), 1, 0)</f>
        <v>0</v>
      </c>
    </row>
    <row r="163" spans="1:10" x14ac:dyDescent="0.3">
      <c r="A163">
        <v>4</v>
      </c>
      <c r="B163" t="s">
        <v>8</v>
      </c>
      <c r="C163" s="5">
        <v>43952</v>
      </c>
      <c r="D163" s="5">
        <v>45366</v>
      </c>
      <c r="E163" t="s">
        <v>30</v>
      </c>
      <c r="F163" t="s">
        <v>36</v>
      </c>
      <c r="G163" t="s">
        <v>42</v>
      </c>
      <c r="H163">
        <v>47</v>
      </c>
      <c r="I163">
        <v>12</v>
      </c>
      <c r="J163">
        <f>IF(AND(표1_[[#This Row],[유지회차]]=표1_[[#This Row],[회차리스트]], OR(B163="해지", B163="실효", B163="만기", B163="사망")), 1, 0)</f>
        <v>0</v>
      </c>
    </row>
    <row r="164" spans="1:10" x14ac:dyDescent="0.3">
      <c r="A164">
        <v>4</v>
      </c>
      <c r="B164" t="s">
        <v>8</v>
      </c>
      <c r="C164" s="5">
        <v>43952</v>
      </c>
      <c r="D164" s="5">
        <v>45366</v>
      </c>
      <c r="E164" t="s">
        <v>30</v>
      </c>
      <c r="F164" t="s">
        <v>36</v>
      </c>
      <c r="G164" t="s">
        <v>42</v>
      </c>
      <c r="H164">
        <v>47</v>
      </c>
      <c r="I164">
        <v>13</v>
      </c>
      <c r="J164">
        <f>IF(AND(표1_[[#This Row],[유지회차]]=표1_[[#This Row],[회차리스트]], OR(B164="해지", B164="실효", B164="만기", B164="사망")), 1, 0)</f>
        <v>0</v>
      </c>
    </row>
    <row r="165" spans="1:10" x14ac:dyDescent="0.3">
      <c r="A165">
        <v>4</v>
      </c>
      <c r="B165" t="s">
        <v>8</v>
      </c>
      <c r="C165" s="5">
        <v>43952</v>
      </c>
      <c r="D165" s="5">
        <v>45366</v>
      </c>
      <c r="E165" t="s">
        <v>30</v>
      </c>
      <c r="F165" t="s">
        <v>36</v>
      </c>
      <c r="G165" t="s">
        <v>42</v>
      </c>
      <c r="H165">
        <v>47</v>
      </c>
      <c r="I165">
        <v>14</v>
      </c>
      <c r="J165">
        <f>IF(AND(표1_[[#This Row],[유지회차]]=표1_[[#This Row],[회차리스트]], OR(B165="해지", B165="실효", B165="만기", B165="사망")), 1, 0)</f>
        <v>0</v>
      </c>
    </row>
    <row r="166" spans="1:10" x14ac:dyDescent="0.3">
      <c r="A166">
        <v>4</v>
      </c>
      <c r="B166" t="s">
        <v>8</v>
      </c>
      <c r="C166" s="5">
        <v>43952</v>
      </c>
      <c r="D166" s="5">
        <v>45366</v>
      </c>
      <c r="E166" t="s">
        <v>30</v>
      </c>
      <c r="F166" t="s">
        <v>36</v>
      </c>
      <c r="G166" t="s">
        <v>42</v>
      </c>
      <c r="H166">
        <v>47</v>
      </c>
      <c r="I166">
        <v>15</v>
      </c>
      <c r="J166">
        <f>IF(AND(표1_[[#This Row],[유지회차]]=표1_[[#This Row],[회차리스트]], OR(B166="해지", B166="실효", B166="만기", B166="사망")), 1, 0)</f>
        <v>0</v>
      </c>
    </row>
    <row r="167" spans="1:10" x14ac:dyDescent="0.3">
      <c r="A167">
        <v>4</v>
      </c>
      <c r="B167" t="s">
        <v>8</v>
      </c>
      <c r="C167" s="5">
        <v>43952</v>
      </c>
      <c r="D167" s="5">
        <v>45366</v>
      </c>
      <c r="E167" t="s">
        <v>30</v>
      </c>
      <c r="F167" t="s">
        <v>36</v>
      </c>
      <c r="G167" t="s">
        <v>42</v>
      </c>
      <c r="H167">
        <v>47</v>
      </c>
      <c r="I167">
        <v>16</v>
      </c>
      <c r="J167">
        <f>IF(AND(표1_[[#This Row],[유지회차]]=표1_[[#This Row],[회차리스트]], OR(B167="해지", B167="실효", B167="만기", B167="사망")), 1, 0)</f>
        <v>0</v>
      </c>
    </row>
    <row r="168" spans="1:10" x14ac:dyDescent="0.3">
      <c r="A168">
        <v>4</v>
      </c>
      <c r="B168" t="s">
        <v>8</v>
      </c>
      <c r="C168" s="5">
        <v>43952</v>
      </c>
      <c r="D168" s="5">
        <v>45366</v>
      </c>
      <c r="E168" t="s">
        <v>30</v>
      </c>
      <c r="F168" t="s">
        <v>36</v>
      </c>
      <c r="G168" t="s">
        <v>42</v>
      </c>
      <c r="H168">
        <v>47</v>
      </c>
      <c r="I168">
        <v>17</v>
      </c>
      <c r="J168">
        <f>IF(AND(표1_[[#This Row],[유지회차]]=표1_[[#This Row],[회차리스트]], OR(B168="해지", B168="실효", B168="만기", B168="사망")), 1, 0)</f>
        <v>0</v>
      </c>
    </row>
    <row r="169" spans="1:10" x14ac:dyDescent="0.3">
      <c r="A169">
        <v>4</v>
      </c>
      <c r="B169" t="s">
        <v>8</v>
      </c>
      <c r="C169" s="5">
        <v>43952</v>
      </c>
      <c r="D169" s="5">
        <v>45366</v>
      </c>
      <c r="E169" t="s">
        <v>30</v>
      </c>
      <c r="F169" t="s">
        <v>36</v>
      </c>
      <c r="G169" t="s">
        <v>42</v>
      </c>
      <c r="H169">
        <v>47</v>
      </c>
      <c r="I169">
        <v>18</v>
      </c>
      <c r="J169">
        <f>IF(AND(표1_[[#This Row],[유지회차]]=표1_[[#This Row],[회차리스트]], OR(B169="해지", B169="실효", B169="만기", B169="사망")), 1, 0)</f>
        <v>0</v>
      </c>
    </row>
    <row r="170" spans="1:10" x14ac:dyDescent="0.3">
      <c r="A170">
        <v>4</v>
      </c>
      <c r="B170" t="s">
        <v>8</v>
      </c>
      <c r="C170" s="5">
        <v>43952</v>
      </c>
      <c r="D170" s="5">
        <v>45366</v>
      </c>
      <c r="E170" t="s">
        <v>30</v>
      </c>
      <c r="F170" t="s">
        <v>36</v>
      </c>
      <c r="G170" t="s">
        <v>42</v>
      </c>
      <c r="H170">
        <v>47</v>
      </c>
      <c r="I170">
        <v>19</v>
      </c>
      <c r="J170">
        <f>IF(AND(표1_[[#This Row],[유지회차]]=표1_[[#This Row],[회차리스트]], OR(B170="해지", B170="실효", B170="만기", B170="사망")), 1, 0)</f>
        <v>0</v>
      </c>
    </row>
    <row r="171" spans="1:10" x14ac:dyDescent="0.3">
      <c r="A171">
        <v>4</v>
      </c>
      <c r="B171" t="s">
        <v>8</v>
      </c>
      <c r="C171" s="5">
        <v>43952</v>
      </c>
      <c r="D171" s="5">
        <v>45366</v>
      </c>
      <c r="E171" t="s">
        <v>30</v>
      </c>
      <c r="F171" t="s">
        <v>36</v>
      </c>
      <c r="G171" t="s">
        <v>42</v>
      </c>
      <c r="H171">
        <v>47</v>
      </c>
      <c r="I171">
        <v>20</v>
      </c>
      <c r="J171">
        <f>IF(AND(표1_[[#This Row],[유지회차]]=표1_[[#This Row],[회차리스트]], OR(B171="해지", B171="실효", B171="만기", B171="사망")), 1, 0)</f>
        <v>0</v>
      </c>
    </row>
    <row r="172" spans="1:10" x14ac:dyDescent="0.3">
      <c r="A172">
        <v>4</v>
      </c>
      <c r="B172" t="s">
        <v>8</v>
      </c>
      <c r="C172" s="5">
        <v>43952</v>
      </c>
      <c r="D172" s="5">
        <v>45366</v>
      </c>
      <c r="E172" t="s">
        <v>30</v>
      </c>
      <c r="F172" t="s">
        <v>36</v>
      </c>
      <c r="G172" t="s">
        <v>42</v>
      </c>
      <c r="H172">
        <v>47</v>
      </c>
      <c r="I172">
        <v>21</v>
      </c>
      <c r="J172">
        <f>IF(AND(표1_[[#This Row],[유지회차]]=표1_[[#This Row],[회차리스트]], OR(B172="해지", B172="실효", B172="만기", B172="사망")), 1, 0)</f>
        <v>0</v>
      </c>
    </row>
    <row r="173" spans="1:10" x14ac:dyDescent="0.3">
      <c r="A173">
        <v>4</v>
      </c>
      <c r="B173" t="s">
        <v>8</v>
      </c>
      <c r="C173" s="5">
        <v>43952</v>
      </c>
      <c r="D173" s="5">
        <v>45366</v>
      </c>
      <c r="E173" t="s">
        <v>30</v>
      </c>
      <c r="F173" t="s">
        <v>36</v>
      </c>
      <c r="G173" t="s">
        <v>42</v>
      </c>
      <c r="H173">
        <v>47</v>
      </c>
      <c r="I173">
        <v>22</v>
      </c>
      <c r="J173">
        <f>IF(AND(표1_[[#This Row],[유지회차]]=표1_[[#This Row],[회차리스트]], OR(B173="해지", B173="실효", B173="만기", B173="사망")), 1, 0)</f>
        <v>0</v>
      </c>
    </row>
    <row r="174" spans="1:10" x14ac:dyDescent="0.3">
      <c r="A174">
        <v>4</v>
      </c>
      <c r="B174" t="s">
        <v>8</v>
      </c>
      <c r="C174" s="5">
        <v>43952</v>
      </c>
      <c r="D174" s="5">
        <v>45366</v>
      </c>
      <c r="E174" t="s">
        <v>30</v>
      </c>
      <c r="F174" t="s">
        <v>36</v>
      </c>
      <c r="G174" t="s">
        <v>42</v>
      </c>
      <c r="H174">
        <v>47</v>
      </c>
      <c r="I174">
        <v>23</v>
      </c>
      <c r="J174">
        <f>IF(AND(표1_[[#This Row],[유지회차]]=표1_[[#This Row],[회차리스트]], OR(B174="해지", B174="실효", B174="만기", B174="사망")), 1, 0)</f>
        <v>0</v>
      </c>
    </row>
    <row r="175" spans="1:10" x14ac:dyDescent="0.3">
      <c r="A175">
        <v>4</v>
      </c>
      <c r="B175" t="s">
        <v>8</v>
      </c>
      <c r="C175" s="5">
        <v>43952</v>
      </c>
      <c r="D175" s="5">
        <v>45366</v>
      </c>
      <c r="E175" t="s">
        <v>30</v>
      </c>
      <c r="F175" t="s">
        <v>36</v>
      </c>
      <c r="G175" t="s">
        <v>42</v>
      </c>
      <c r="H175">
        <v>47</v>
      </c>
      <c r="I175">
        <v>24</v>
      </c>
      <c r="J175">
        <f>IF(AND(표1_[[#This Row],[유지회차]]=표1_[[#This Row],[회차리스트]], OR(B175="해지", B175="실효", B175="만기", B175="사망")), 1, 0)</f>
        <v>0</v>
      </c>
    </row>
    <row r="176" spans="1:10" x14ac:dyDescent="0.3">
      <c r="A176">
        <v>4</v>
      </c>
      <c r="B176" t="s">
        <v>8</v>
      </c>
      <c r="C176" s="5">
        <v>43952</v>
      </c>
      <c r="D176" s="5">
        <v>45366</v>
      </c>
      <c r="E176" t="s">
        <v>30</v>
      </c>
      <c r="F176" t="s">
        <v>36</v>
      </c>
      <c r="G176" t="s">
        <v>42</v>
      </c>
      <c r="H176">
        <v>47</v>
      </c>
      <c r="I176">
        <v>25</v>
      </c>
      <c r="J176">
        <f>IF(AND(표1_[[#This Row],[유지회차]]=표1_[[#This Row],[회차리스트]], OR(B176="해지", B176="실효", B176="만기", B176="사망")), 1, 0)</f>
        <v>0</v>
      </c>
    </row>
    <row r="177" spans="1:10" x14ac:dyDescent="0.3">
      <c r="A177">
        <v>4</v>
      </c>
      <c r="B177" t="s">
        <v>8</v>
      </c>
      <c r="C177" s="5">
        <v>43952</v>
      </c>
      <c r="D177" s="5">
        <v>45366</v>
      </c>
      <c r="E177" t="s">
        <v>30</v>
      </c>
      <c r="F177" t="s">
        <v>36</v>
      </c>
      <c r="G177" t="s">
        <v>42</v>
      </c>
      <c r="H177">
        <v>47</v>
      </c>
      <c r="I177">
        <v>26</v>
      </c>
      <c r="J177">
        <f>IF(AND(표1_[[#This Row],[유지회차]]=표1_[[#This Row],[회차리스트]], OR(B177="해지", B177="실효", B177="만기", B177="사망")), 1, 0)</f>
        <v>0</v>
      </c>
    </row>
    <row r="178" spans="1:10" x14ac:dyDescent="0.3">
      <c r="A178">
        <v>4</v>
      </c>
      <c r="B178" t="s">
        <v>8</v>
      </c>
      <c r="C178" s="5">
        <v>43952</v>
      </c>
      <c r="D178" s="5">
        <v>45366</v>
      </c>
      <c r="E178" t="s">
        <v>30</v>
      </c>
      <c r="F178" t="s">
        <v>36</v>
      </c>
      <c r="G178" t="s">
        <v>42</v>
      </c>
      <c r="H178">
        <v>47</v>
      </c>
      <c r="I178">
        <v>27</v>
      </c>
      <c r="J178">
        <f>IF(AND(표1_[[#This Row],[유지회차]]=표1_[[#This Row],[회차리스트]], OR(B178="해지", B178="실효", B178="만기", B178="사망")), 1, 0)</f>
        <v>0</v>
      </c>
    </row>
    <row r="179" spans="1:10" x14ac:dyDescent="0.3">
      <c r="A179">
        <v>4</v>
      </c>
      <c r="B179" t="s">
        <v>8</v>
      </c>
      <c r="C179" s="5">
        <v>43952</v>
      </c>
      <c r="D179" s="5">
        <v>45366</v>
      </c>
      <c r="E179" t="s">
        <v>30</v>
      </c>
      <c r="F179" t="s">
        <v>36</v>
      </c>
      <c r="G179" t="s">
        <v>42</v>
      </c>
      <c r="H179">
        <v>47</v>
      </c>
      <c r="I179">
        <v>28</v>
      </c>
      <c r="J179">
        <f>IF(AND(표1_[[#This Row],[유지회차]]=표1_[[#This Row],[회차리스트]], OR(B179="해지", B179="실효", B179="만기", B179="사망")), 1, 0)</f>
        <v>0</v>
      </c>
    </row>
    <row r="180" spans="1:10" x14ac:dyDescent="0.3">
      <c r="A180">
        <v>4</v>
      </c>
      <c r="B180" t="s">
        <v>8</v>
      </c>
      <c r="C180" s="5">
        <v>43952</v>
      </c>
      <c r="D180" s="5">
        <v>45366</v>
      </c>
      <c r="E180" t="s">
        <v>30</v>
      </c>
      <c r="F180" t="s">
        <v>36</v>
      </c>
      <c r="G180" t="s">
        <v>42</v>
      </c>
      <c r="H180">
        <v>47</v>
      </c>
      <c r="I180">
        <v>29</v>
      </c>
      <c r="J180">
        <f>IF(AND(표1_[[#This Row],[유지회차]]=표1_[[#This Row],[회차리스트]], OR(B180="해지", B180="실효", B180="만기", B180="사망")), 1, 0)</f>
        <v>0</v>
      </c>
    </row>
    <row r="181" spans="1:10" x14ac:dyDescent="0.3">
      <c r="A181">
        <v>4</v>
      </c>
      <c r="B181" t="s">
        <v>8</v>
      </c>
      <c r="C181" s="5">
        <v>43952</v>
      </c>
      <c r="D181" s="5">
        <v>45366</v>
      </c>
      <c r="E181" t="s">
        <v>30</v>
      </c>
      <c r="F181" t="s">
        <v>36</v>
      </c>
      <c r="G181" t="s">
        <v>42</v>
      </c>
      <c r="H181">
        <v>47</v>
      </c>
      <c r="I181">
        <v>30</v>
      </c>
      <c r="J181">
        <f>IF(AND(표1_[[#This Row],[유지회차]]=표1_[[#This Row],[회차리스트]], OR(B181="해지", B181="실효", B181="만기", B181="사망")), 1, 0)</f>
        <v>0</v>
      </c>
    </row>
    <row r="182" spans="1:10" x14ac:dyDescent="0.3">
      <c r="A182">
        <v>4</v>
      </c>
      <c r="B182" t="s">
        <v>8</v>
      </c>
      <c r="C182" s="5">
        <v>43952</v>
      </c>
      <c r="D182" s="5">
        <v>45366</v>
      </c>
      <c r="E182" t="s">
        <v>30</v>
      </c>
      <c r="F182" t="s">
        <v>36</v>
      </c>
      <c r="G182" t="s">
        <v>42</v>
      </c>
      <c r="H182">
        <v>47</v>
      </c>
      <c r="I182">
        <v>31</v>
      </c>
      <c r="J182">
        <f>IF(AND(표1_[[#This Row],[유지회차]]=표1_[[#This Row],[회차리스트]], OR(B182="해지", B182="실효", B182="만기", B182="사망")), 1, 0)</f>
        <v>0</v>
      </c>
    </row>
    <row r="183" spans="1:10" x14ac:dyDescent="0.3">
      <c r="A183">
        <v>4</v>
      </c>
      <c r="B183" t="s">
        <v>8</v>
      </c>
      <c r="C183" s="5">
        <v>43952</v>
      </c>
      <c r="D183" s="5">
        <v>45366</v>
      </c>
      <c r="E183" t="s">
        <v>30</v>
      </c>
      <c r="F183" t="s">
        <v>36</v>
      </c>
      <c r="G183" t="s">
        <v>42</v>
      </c>
      <c r="H183">
        <v>47</v>
      </c>
      <c r="I183">
        <v>32</v>
      </c>
      <c r="J183">
        <f>IF(AND(표1_[[#This Row],[유지회차]]=표1_[[#This Row],[회차리스트]], OR(B183="해지", B183="실효", B183="만기", B183="사망")), 1, 0)</f>
        <v>0</v>
      </c>
    </row>
    <row r="184" spans="1:10" x14ac:dyDescent="0.3">
      <c r="A184">
        <v>4</v>
      </c>
      <c r="B184" t="s">
        <v>8</v>
      </c>
      <c r="C184" s="5">
        <v>43952</v>
      </c>
      <c r="D184" s="5">
        <v>45366</v>
      </c>
      <c r="E184" t="s">
        <v>30</v>
      </c>
      <c r="F184" t="s">
        <v>36</v>
      </c>
      <c r="G184" t="s">
        <v>42</v>
      </c>
      <c r="H184">
        <v>47</v>
      </c>
      <c r="I184">
        <v>33</v>
      </c>
      <c r="J184">
        <f>IF(AND(표1_[[#This Row],[유지회차]]=표1_[[#This Row],[회차리스트]], OR(B184="해지", B184="실효", B184="만기", B184="사망")), 1, 0)</f>
        <v>0</v>
      </c>
    </row>
    <row r="185" spans="1:10" x14ac:dyDescent="0.3">
      <c r="A185">
        <v>4</v>
      </c>
      <c r="B185" t="s">
        <v>8</v>
      </c>
      <c r="C185" s="5">
        <v>43952</v>
      </c>
      <c r="D185" s="5">
        <v>45366</v>
      </c>
      <c r="E185" t="s">
        <v>30</v>
      </c>
      <c r="F185" t="s">
        <v>36</v>
      </c>
      <c r="G185" t="s">
        <v>42</v>
      </c>
      <c r="H185">
        <v>47</v>
      </c>
      <c r="I185">
        <v>34</v>
      </c>
      <c r="J185">
        <f>IF(AND(표1_[[#This Row],[유지회차]]=표1_[[#This Row],[회차리스트]], OR(B185="해지", B185="실효", B185="만기", B185="사망")), 1, 0)</f>
        <v>0</v>
      </c>
    </row>
    <row r="186" spans="1:10" x14ac:dyDescent="0.3">
      <c r="A186">
        <v>4</v>
      </c>
      <c r="B186" t="s">
        <v>8</v>
      </c>
      <c r="C186" s="5">
        <v>43952</v>
      </c>
      <c r="D186" s="5">
        <v>45366</v>
      </c>
      <c r="E186" t="s">
        <v>30</v>
      </c>
      <c r="F186" t="s">
        <v>36</v>
      </c>
      <c r="G186" t="s">
        <v>42</v>
      </c>
      <c r="H186">
        <v>47</v>
      </c>
      <c r="I186">
        <v>35</v>
      </c>
      <c r="J186">
        <f>IF(AND(표1_[[#This Row],[유지회차]]=표1_[[#This Row],[회차리스트]], OR(B186="해지", B186="실효", B186="만기", B186="사망")), 1, 0)</f>
        <v>0</v>
      </c>
    </row>
    <row r="187" spans="1:10" x14ac:dyDescent="0.3">
      <c r="A187">
        <v>4</v>
      </c>
      <c r="B187" t="s">
        <v>8</v>
      </c>
      <c r="C187" s="5">
        <v>43952</v>
      </c>
      <c r="D187" s="5">
        <v>45366</v>
      </c>
      <c r="E187" t="s">
        <v>30</v>
      </c>
      <c r="F187" t="s">
        <v>36</v>
      </c>
      <c r="G187" t="s">
        <v>42</v>
      </c>
      <c r="H187">
        <v>47</v>
      </c>
      <c r="I187">
        <v>36</v>
      </c>
      <c r="J187">
        <f>IF(AND(표1_[[#This Row],[유지회차]]=표1_[[#This Row],[회차리스트]], OR(B187="해지", B187="실효", B187="만기", B187="사망")), 1, 0)</f>
        <v>0</v>
      </c>
    </row>
    <row r="188" spans="1:10" x14ac:dyDescent="0.3">
      <c r="A188">
        <v>4</v>
      </c>
      <c r="B188" t="s">
        <v>8</v>
      </c>
      <c r="C188" s="5">
        <v>43952</v>
      </c>
      <c r="D188" s="5">
        <v>45366</v>
      </c>
      <c r="E188" t="s">
        <v>30</v>
      </c>
      <c r="F188" t="s">
        <v>36</v>
      </c>
      <c r="G188" t="s">
        <v>42</v>
      </c>
      <c r="H188">
        <v>47</v>
      </c>
      <c r="I188">
        <v>37</v>
      </c>
      <c r="J188">
        <f>IF(AND(표1_[[#This Row],[유지회차]]=표1_[[#This Row],[회차리스트]], OR(B188="해지", B188="실효", B188="만기", B188="사망")), 1, 0)</f>
        <v>0</v>
      </c>
    </row>
    <row r="189" spans="1:10" x14ac:dyDescent="0.3">
      <c r="A189">
        <v>4</v>
      </c>
      <c r="B189" t="s">
        <v>8</v>
      </c>
      <c r="C189" s="5">
        <v>43952</v>
      </c>
      <c r="D189" s="5">
        <v>45366</v>
      </c>
      <c r="E189" t="s">
        <v>30</v>
      </c>
      <c r="F189" t="s">
        <v>36</v>
      </c>
      <c r="G189" t="s">
        <v>42</v>
      </c>
      <c r="H189">
        <v>47</v>
      </c>
      <c r="I189">
        <v>38</v>
      </c>
      <c r="J189">
        <f>IF(AND(표1_[[#This Row],[유지회차]]=표1_[[#This Row],[회차리스트]], OR(B189="해지", B189="실효", B189="만기", B189="사망")), 1, 0)</f>
        <v>0</v>
      </c>
    </row>
    <row r="190" spans="1:10" x14ac:dyDescent="0.3">
      <c r="A190">
        <v>4</v>
      </c>
      <c r="B190" t="s">
        <v>8</v>
      </c>
      <c r="C190" s="5">
        <v>43952</v>
      </c>
      <c r="D190" s="5">
        <v>45366</v>
      </c>
      <c r="E190" t="s">
        <v>30</v>
      </c>
      <c r="F190" t="s">
        <v>36</v>
      </c>
      <c r="G190" t="s">
        <v>42</v>
      </c>
      <c r="H190">
        <v>47</v>
      </c>
      <c r="I190">
        <v>39</v>
      </c>
      <c r="J190">
        <f>IF(AND(표1_[[#This Row],[유지회차]]=표1_[[#This Row],[회차리스트]], OR(B190="해지", B190="실효", B190="만기", B190="사망")), 1, 0)</f>
        <v>0</v>
      </c>
    </row>
    <row r="191" spans="1:10" x14ac:dyDescent="0.3">
      <c r="A191">
        <v>4</v>
      </c>
      <c r="B191" t="s">
        <v>8</v>
      </c>
      <c r="C191" s="5">
        <v>43952</v>
      </c>
      <c r="D191" s="5">
        <v>45366</v>
      </c>
      <c r="E191" t="s">
        <v>30</v>
      </c>
      <c r="F191" t="s">
        <v>36</v>
      </c>
      <c r="G191" t="s">
        <v>42</v>
      </c>
      <c r="H191">
        <v>47</v>
      </c>
      <c r="I191">
        <v>40</v>
      </c>
      <c r="J191">
        <f>IF(AND(표1_[[#This Row],[유지회차]]=표1_[[#This Row],[회차리스트]], OR(B191="해지", B191="실효", B191="만기", B191="사망")), 1, 0)</f>
        <v>0</v>
      </c>
    </row>
    <row r="192" spans="1:10" x14ac:dyDescent="0.3">
      <c r="A192">
        <v>4</v>
      </c>
      <c r="B192" t="s">
        <v>8</v>
      </c>
      <c r="C192" s="5">
        <v>43952</v>
      </c>
      <c r="D192" s="5">
        <v>45366</v>
      </c>
      <c r="E192" t="s">
        <v>30</v>
      </c>
      <c r="F192" t="s">
        <v>36</v>
      </c>
      <c r="G192" t="s">
        <v>42</v>
      </c>
      <c r="H192">
        <v>47</v>
      </c>
      <c r="I192">
        <v>41</v>
      </c>
      <c r="J192">
        <f>IF(AND(표1_[[#This Row],[유지회차]]=표1_[[#This Row],[회차리스트]], OR(B192="해지", B192="실효", B192="만기", B192="사망")), 1, 0)</f>
        <v>0</v>
      </c>
    </row>
    <row r="193" spans="1:10" x14ac:dyDescent="0.3">
      <c r="A193">
        <v>4</v>
      </c>
      <c r="B193" t="s">
        <v>8</v>
      </c>
      <c r="C193" s="5">
        <v>43952</v>
      </c>
      <c r="D193" s="5">
        <v>45366</v>
      </c>
      <c r="E193" t="s">
        <v>30</v>
      </c>
      <c r="F193" t="s">
        <v>36</v>
      </c>
      <c r="G193" t="s">
        <v>42</v>
      </c>
      <c r="H193">
        <v>47</v>
      </c>
      <c r="I193">
        <v>42</v>
      </c>
      <c r="J193">
        <f>IF(AND(표1_[[#This Row],[유지회차]]=표1_[[#This Row],[회차리스트]], OR(B193="해지", B193="실효", B193="만기", B193="사망")), 1, 0)</f>
        <v>0</v>
      </c>
    </row>
    <row r="194" spans="1:10" x14ac:dyDescent="0.3">
      <c r="A194">
        <v>4</v>
      </c>
      <c r="B194" t="s">
        <v>8</v>
      </c>
      <c r="C194" s="5">
        <v>43952</v>
      </c>
      <c r="D194" s="5">
        <v>45366</v>
      </c>
      <c r="E194" t="s">
        <v>30</v>
      </c>
      <c r="F194" t="s">
        <v>36</v>
      </c>
      <c r="G194" t="s">
        <v>42</v>
      </c>
      <c r="H194">
        <v>47</v>
      </c>
      <c r="I194">
        <v>43</v>
      </c>
      <c r="J194">
        <f>IF(AND(표1_[[#This Row],[유지회차]]=표1_[[#This Row],[회차리스트]], OR(B194="해지", B194="실효", B194="만기", B194="사망")), 1, 0)</f>
        <v>0</v>
      </c>
    </row>
    <row r="195" spans="1:10" x14ac:dyDescent="0.3">
      <c r="A195">
        <v>4</v>
      </c>
      <c r="B195" t="s">
        <v>8</v>
      </c>
      <c r="C195" s="5">
        <v>43952</v>
      </c>
      <c r="D195" s="5">
        <v>45366</v>
      </c>
      <c r="E195" t="s">
        <v>30</v>
      </c>
      <c r="F195" t="s">
        <v>36</v>
      </c>
      <c r="G195" t="s">
        <v>42</v>
      </c>
      <c r="H195">
        <v>47</v>
      </c>
      <c r="I195">
        <v>44</v>
      </c>
      <c r="J195">
        <f>IF(AND(표1_[[#This Row],[유지회차]]=표1_[[#This Row],[회차리스트]], OR(B195="해지", B195="실효", B195="만기", B195="사망")), 1, 0)</f>
        <v>0</v>
      </c>
    </row>
    <row r="196" spans="1:10" x14ac:dyDescent="0.3">
      <c r="A196">
        <v>4</v>
      </c>
      <c r="B196" t="s">
        <v>8</v>
      </c>
      <c r="C196" s="5">
        <v>43952</v>
      </c>
      <c r="D196" s="5">
        <v>45366</v>
      </c>
      <c r="E196" t="s">
        <v>30</v>
      </c>
      <c r="F196" t="s">
        <v>36</v>
      </c>
      <c r="G196" t="s">
        <v>42</v>
      </c>
      <c r="H196">
        <v>47</v>
      </c>
      <c r="I196">
        <v>45</v>
      </c>
      <c r="J196">
        <f>IF(AND(표1_[[#This Row],[유지회차]]=표1_[[#This Row],[회차리스트]], OR(B196="해지", B196="실효", B196="만기", B196="사망")), 1, 0)</f>
        <v>0</v>
      </c>
    </row>
    <row r="197" spans="1:10" x14ac:dyDescent="0.3">
      <c r="A197">
        <v>4</v>
      </c>
      <c r="B197" t="s">
        <v>8</v>
      </c>
      <c r="C197" s="5">
        <v>43952</v>
      </c>
      <c r="D197" s="5">
        <v>45366</v>
      </c>
      <c r="E197" t="s">
        <v>30</v>
      </c>
      <c r="F197" t="s">
        <v>36</v>
      </c>
      <c r="G197" t="s">
        <v>42</v>
      </c>
      <c r="H197">
        <v>47</v>
      </c>
      <c r="I197">
        <v>46</v>
      </c>
      <c r="J197">
        <f>IF(AND(표1_[[#This Row],[유지회차]]=표1_[[#This Row],[회차리스트]], OR(B197="해지", B197="실효", B197="만기", B197="사망")), 1, 0)</f>
        <v>0</v>
      </c>
    </row>
    <row r="198" spans="1:10" x14ac:dyDescent="0.3">
      <c r="A198">
        <v>4</v>
      </c>
      <c r="B198" t="s">
        <v>8</v>
      </c>
      <c r="C198" s="5">
        <v>43952</v>
      </c>
      <c r="D198" s="5">
        <v>45366</v>
      </c>
      <c r="E198" t="s">
        <v>30</v>
      </c>
      <c r="F198" t="s">
        <v>36</v>
      </c>
      <c r="G198" t="s">
        <v>42</v>
      </c>
      <c r="H198">
        <v>47</v>
      </c>
      <c r="I198">
        <v>47</v>
      </c>
      <c r="J198">
        <f>IF(AND(표1_[[#This Row],[유지회차]]=표1_[[#This Row],[회차리스트]], OR(B198="해지", B198="실효", B198="만기", B198="사망")), 1, 0)</f>
        <v>1</v>
      </c>
    </row>
    <row r="199" spans="1:10" x14ac:dyDescent="0.3">
      <c r="A199">
        <v>5</v>
      </c>
      <c r="B199" t="s">
        <v>10</v>
      </c>
      <c r="C199" s="5">
        <v>44720</v>
      </c>
      <c r="D199" s="5">
        <v>45775</v>
      </c>
      <c r="E199" t="s">
        <v>28</v>
      </c>
      <c r="F199" t="s">
        <v>38</v>
      </c>
      <c r="G199" t="s">
        <v>44</v>
      </c>
      <c r="H199">
        <v>35</v>
      </c>
      <c r="I199">
        <v>1</v>
      </c>
      <c r="J199">
        <f>IF(AND(표1_[[#This Row],[유지회차]]=표1_[[#This Row],[회차리스트]], OR(B199="해지", B199="실효", B199="만기", B199="사망")), 1, 0)</f>
        <v>0</v>
      </c>
    </row>
    <row r="200" spans="1:10" x14ac:dyDescent="0.3">
      <c r="A200">
        <v>5</v>
      </c>
      <c r="B200" t="s">
        <v>10</v>
      </c>
      <c r="C200" s="5">
        <v>44720</v>
      </c>
      <c r="D200" s="5">
        <v>45775</v>
      </c>
      <c r="E200" t="s">
        <v>28</v>
      </c>
      <c r="F200" t="s">
        <v>38</v>
      </c>
      <c r="G200" t="s">
        <v>44</v>
      </c>
      <c r="H200">
        <v>35</v>
      </c>
      <c r="I200">
        <v>2</v>
      </c>
      <c r="J200">
        <f>IF(AND(표1_[[#This Row],[유지회차]]=표1_[[#This Row],[회차리스트]], OR(B200="해지", B200="실효", B200="만기", B200="사망")), 1, 0)</f>
        <v>0</v>
      </c>
    </row>
    <row r="201" spans="1:10" x14ac:dyDescent="0.3">
      <c r="A201">
        <v>5</v>
      </c>
      <c r="B201" t="s">
        <v>10</v>
      </c>
      <c r="C201" s="5">
        <v>44720</v>
      </c>
      <c r="D201" s="5">
        <v>45775</v>
      </c>
      <c r="E201" t="s">
        <v>28</v>
      </c>
      <c r="F201" t="s">
        <v>38</v>
      </c>
      <c r="G201" t="s">
        <v>44</v>
      </c>
      <c r="H201">
        <v>35</v>
      </c>
      <c r="I201">
        <v>3</v>
      </c>
      <c r="J201">
        <f>IF(AND(표1_[[#This Row],[유지회차]]=표1_[[#This Row],[회차리스트]], OR(B201="해지", B201="실효", B201="만기", B201="사망")), 1, 0)</f>
        <v>0</v>
      </c>
    </row>
    <row r="202" spans="1:10" x14ac:dyDescent="0.3">
      <c r="A202">
        <v>5</v>
      </c>
      <c r="B202" t="s">
        <v>10</v>
      </c>
      <c r="C202" s="5">
        <v>44720</v>
      </c>
      <c r="D202" s="5">
        <v>45775</v>
      </c>
      <c r="E202" t="s">
        <v>28</v>
      </c>
      <c r="F202" t="s">
        <v>38</v>
      </c>
      <c r="G202" t="s">
        <v>44</v>
      </c>
      <c r="H202">
        <v>35</v>
      </c>
      <c r="I202">
        <v>4</v>
      </c>
      <c r="J202">
        <f>IF(AND(표1_[[#This Row],[유지회차]]=표1_[[#This Row],[회차리스트]], OR(B202="해지", B202="실효", B202="만기", B202="사망")), 1, 0)</f>
        <v>0</v>
      </c>
    </row>
    <row r="203" spans="1:10" x14ac:dyDescent="0.3">
      <c r="A203">
        <v>5</v>
      </c>
      <c r="B203" t="s">
        <v>10</v>
      </c>
      <c r="C203" s="5">
        <v>44720</v>
      </c>
      <c r="D203" s="5">
        <v>45775</v>
      </c>
      <c r="E203" t="s">
        <v>28</v>
      </c>
      <c r="F203" t="s">
        <v>38</v>
      </c>
      <c r="G203" t="s">
        <v>44</v>
      </c>
      <c r="H203">
        <v>35</v>
      </c>
      <c r="I203">
        <v>5</v>
      </c>
      <c r="J203">
        <f>IF(AND(표1_[[#This Row],[유지회차]]=표1_[[#This Row],[회차리스트]], OR(B203="해지", B203="실효", B203="만기", B203="사망")), 1, 0)</f>
        <v>0</v>
      </c>
    </row>
    <row r="204" spans="1:10" x14ac:dyDescent="0.3">
      <c r="A204">
        <v>5</v>
      </c>
      <c r="B204" t="s">
        <v>10</v>
      </c>
      <c r="C204" s="5">
        <v>44720</v>
      </c>
      <c r="D204" s="5">
        <v>45775</v>
      </c>
      <c r="E204" t="s">
        <v>28</v>
      </c>
      <c r="F204" t="s">
        <v>38</v>
      </c>
      <c r="G204" t="s">
        <v>44</v>
      </c>
      <c r="H204">
        <v>35</v>
      </c>
      <c r="I204">
        <v>6</v>
      </c>
      <c r="J204">
        <f>IF(AND(표1_[[#This Row],[유지회차]]=표1_[[#This Row],[회차리스트]], OR(B204="해지", B204="실효", B204="만기", B204="사망")), 1, 0)</f>
        <v>0</v>
      </c>
    </row>
    <row r="205" spans="1:10" x14ac:dyDescent="0.3">
      <c r="A205">
        <v>5</v>
      </c>
      <c r="B205" t="s">
        <v>10</v>
      </c>
      <c r="C205" s="5">
        <v>44720</v>
      </c>
      <c r="D205" s="5">
        <v>45775</v>
      </c>
      <c r="E205" t="s">
        <v>28</v>
      </c>
      <c r="F205" t="s">
        <v>38</v>
      </c>
      <c r="G205" t="s">
        <v>44</v>
      </c>
      <c r="H205">
        <v>35</v>
      </c>
      <c r="I205">
        <v>7</v>
      </c>
      <c r="J205">
        <f>IF(AND(표1_[[#This Row],[유지회차]]=표1_[[#This Row],[회차리스트]], OR(B205="해지", B205="실효", B205="만기", B205="사망")), 1, 0)</f>
        <v>0</v>
      </c>
    </row>
    <row r="206" spans="1:10" x14ac:dyDescent="0.3">
      <c r="A206">
        <v>5</v>
      </c>
      <c r="B206" t="s">
        <v>10</v>
      </c>
      <c r="C206" s="5">
        <v>44720</v>
      </c>
      <c r="D206" s="5">
        <v>45775</v>
      </c>
      <c r="E206" t="s">
        <v>28</v>
      </c>
      <c r="F206" t="s">
        <v>38</v>
      </c>
      <c r="G206" t="s">
        <v>44</v>
      </c>
      <c r="H206">
        <v>35</v>
      </c>
      <c r="I206">
        <v>8</v>
      </c>
      <c r="J206">
        <f>IF(AND(표1_[[#This Row],[유지회차]]=표1_[[#This Row],[회차리스트]], OR(B206="해지", B206="실효", B206="만기", B206="사망")), 1, 0)</f>
        <v>0</v>
      </c>
    </row>
    <row r="207" spans="1:10" x14ac:dyDescent="0.3">
      <c r="A207">
        <v>5</v>
      </c>
      <c r="B207" t="s">
        <v>10</v>
      </c>
      <c r="C207" s="5">
        <v>44720</v>
      </c>
      <c r="D207" s="5">
        <v>45775</v>
      </c>
      <c r="E207" t="s">
        <v>28</v>
      </c>
      <c r="F207" t="s">
        <v>38</v>
      </c>
      <c r="G207" t="s">
        <v>44</v>
      </c>
      <c r="H207">
        <v>35</v>
      </c>
      <c r="I207">
        <v>9</v>
      </c>
      <c r="J207">
        <f>IF(AND(표1_[[#This Row],[유지회차]]=표1_[[#This Row],[회차리스트]], OR(B207="해지", B207="실효", B207="만기", B207="사망")), 1, 0)</f>
        <v>0</v>
      </c>
    </row>
    <row r="208" spans="1:10" x14ac:dyDescent="0.3">
      <c r="A208">
        <v>5</v>
      </c>
      <c r="B208" t="s">
        <v>10</v>
      </c>
      <c r="C208" s="5">
        <v>44720</v>
      </c>
      <c r="D208" s="5">
        <v>45775</v>
      </c>
      <c r="E208" t="s">
        <v>28</v>
      </c>
      <c r="F208" t="s">
        <v>38</v>
      </c>
      <c r="G208" t="s">
        <v>44</v>
      </c>
      <c r="H208">
        <v>35</v>
      </c>
      <c r="I208">
        <v>10</v>
      </c>
      <c r="J208">
        <f>IF(AND(표1_[[#This Row],[유지회차]]=표1_[[#This Row],[회차리스트]], OR(B208="해지", B208="실효", B208="만기", B208="사망")), 1, 0)</f>
        <v>0</v>
      </c>
    </row>
    <row r="209" spans="1:10" x14ac:dyDescent="0.3">
      <c r="A209">
        <v>5</v>
      </c>
      <c r="B209" t="s">
        <v>10</v>
      </c>
      <c r="C209" s="5">
        <v>44720</v>
      </c>
      <c r="D209" s="5">
        <v>45775</v>
      </c>
      <c r="E209" t="s">
        <v>28</v>
      </c>
      <c r="F209" t="s">
        <v>38</v>
      </c>
      <c r="G209" t="s">
        <v>44</v>
      </c>
      <c r="H209">
        <v>35</v>
      </c>
      <c r="I209">
        <v>11</v>
      </c>
      <c r="J209">
        <f>IF(AND(표1_[[#This Row],[유지회차]]=표1_[[#This Row],[회차리스트]], OR(B209="해지", B209="실효", B209="만기", B209="사망")), 1, 0)</f>
        <v>0</v>
      </c>
    </row>
    <row r="210" spans="1:10" x14ac:dyDescent="0.3">
      <c r="A210">
        <v>5</v>
      </c>
      <c r="B210" t="s">
        <v>10</v>
      </c>
      <c r="C210" s="5">
        <v>44720</v>
      </c>
      <c r="D210" s="5">
        <v>45775</v>
      </c>
      <c r="E210" t="s">
        <v>28</v>
      </c>
      <c r="F210" t="s">
        <v>38</v>
      </c>
      <c r="G210" t="s">
        <v>44</v>
      </c>
      <c r="H210">
        <v>35</v>
      </c>
      <c r="I210">
        <v>12</v>
      </c>
      <c r="J210">
        <f>IF(AND(표1_[[#This Row],[유지회차]]=표1_[[#This Row],[회차리스트]], OR(B210="해지", B210="실효", B210="만기", B210="사망")), 1, 0)</f>
        <v>0</v>
      </c>
    </row>
    <row r="211" spans="1:10" x14ac:dyDescent="0.3">
      <c r="A211">
        <v>5</v>
      </c>
      <c r="B211" t="s">
        <v>10</v>
      </c>
      <c r="C211" s="5">
        <v>44720</v>
      </c>
      <c r="D211" s="5">
        <v>45775</v>
      </c>
      <c r="E211" t="s">
        <v>28</v>
      </c>
      <c r="F211" t="s">
        <v>38</v>
      </c>
      <c r="G211" t="s">
        <v>44</v>
      </c>
      <c r="H211">
        <v>35</v>
      </c>
      <c r="I211">
        <v>13</v>
      </c>
      <c r="J211">
        <f>IF(AND(표1_[[#This Row],[유지회차]]=표1_[[#This Row],[회차리스트]], OR(B211="해지", B211="실효", B211="만기", B211="사망")), 1, 0)</f>
        <v>0</v>
      </c>
    </row>
    <row r="212" spans="1:10" x14ac:dyDescent="0.3">
      <c r="A212">
        <v>5</v>
      </c>
      <c r="B212" t="s">
        <v>10</v>
      </c>
      <c r="C212" s="5">
        <v>44720</v>
      </c>
      <c r="D212" s="5">
        <v>45775</v>
      </c>
      <c r="E212" t="s">
        <v>28</v>
      </c>
      <c r="F212" t="s">
        <v>38</v>
      </c>
      <c r="G212" t="s">
        <v>44</v>
      </c>
      <c r="H212">
        <v>35</v>
      </c>
      <c r="I212">
        <v>14</v>
      </c>
      <c r="J212">
        <f>IF(AND(표1_[[#This Row],[유지회차]]=표1_[[#This Row],[회차리스트]], OR(B212="해지", B212="실효", B212="만기", B212="사망")), 1, 0)</f>
        <v>0</v>
      </c>
    </row>
    <row r="213" spans="1:10" x14ac:dyDescent="0.3">
      <c r="A213">
        <v>5</v>
      </c>
      <c r="B213" t="s">
        <v>10</v>
      </c>
      <c r="C213" s="5">
        <v>44720</v>
      </c>
      <c r="D213" s="5">
        <v>45775</v>
      </c>
      <c r="E213" t="s">
        <v>28</v>
      </c>
      <c r="F213" t="s">
        <v>38</v>
      </c>
      <c r="G213" t="s">
        <v>44</v>
      </c>
      <c r="H213">
        <v>35</v>
      </c>
      <c r="I213">
        <v>15</v>
      </c>
      <c r="J213">
        <f>IF(AND(표1_[[#This Row],[유지회차]]=표1_[[#This Row],[회차리스트]], OR(B213="해지", B213="실효", B213="만기", B213="사망")), 1, 0)</f>
        <v>0</v>
      </c>
    </row>
    <row r="214" spans="1:10" x14ac:dyDescent="0.3">
      <c r="A214">
        <v>5</v>
      </c>
      <c r="B214" t="s">
        <v>10</v>
      </c>
      <c r="C214" s="5">
        <v>44720</v>
      </c>
      <c r="D214" s="5">
        <v>45775</v>
      </c>
      <c r="E214" t="s">
        <v>28</v>
      </c>
      <c r="F214" t="s">
        <v>38</v>
      </c>
      <c r="G214" t="s">
        <v>44</v>
      </c>
      <c r="H214">
        <v>35</v>
      </c>
      <c r="I214">
        <v>16</v>
      </c>
      <c r="J214">
        <f>IF(AND(표1_[[#This Row],[유지회차]]=표1_[[#This Row],[회차리스트]], OR(B214="해지", B214="실효", B214="만기", B214="사망")), 1, 0)</f>
        <v>0</v>
      </c>
    </row>
    <row r="215" spans="1:10" x14ac:dyDescent="0.3">
      <c r="A215">
        <v>5</v>
      </c>
      <c r="B215" t="s">
        <v>10</v>
      </c>
      <c r="C215" s="5">
        <v>44720</v>
      </c>
      <c r="D215" s="5">
        <v>45775</v>
      </c>
      <c r="E215" t="s">
        <v>28</v>
      </c>
      <c r="F215" t="s">
        <v>38</v>
      </c>
      <c r="G215" t="s">
        <v>44</v>
      </c>
      <c r="H215">
        <v>35</v>
      </c>
      <c r="I215">
        <v>17</v>
      </c>
      <c r="J215">
        <f>IF(AND(표1_[[#This Row],[유지회차]]=표1_[[#This Row],[회차리스트]], OR(B215="해지", B215="실효", B215="만기", B215="사망")), 1, 0)</f>
        <v>0</v>
      </c>
    </row>
    <row r="216" spans="1:10" x14ac:dyDescent="0.3">
      <c r="A216">
        <v>5</v>
      </c>
      <c r="B216" t="s">
        <v>10</v>
      </c>
      <c r="C216" s="5">
        <v>44720</v>
      </c>
      <c r="D216" s="5">
        <v>45775</v>
      </c>
      <c r="E216" t="s">
        <v>28</v>
      </c>
      <c r="F216" t="s">
        <v>38</v>
      </c>
      <c r="G216" t="s">
        <v>44</v>
      </c>
      <c r="H216">
        <v>35</v>
      </c>
      <c r="I216">
        <v>18</v>
      </c>
      <c r="J216">
        <f>IF(AND(표1_[[#This Row],[유지회차]]=표1_[[#This Row],[회차리스트]], OR(B216="해지", B216="실효", B216="만기", B216="사망")), 1, 0)</f>
        <v>0</v>
      </c>
    </row>
    <row r="217" spans="1:10" x14ac:dyDescent="0.3">
      <c r="A217">
        <v>5</v>
      </c>
      <c r="B217" t="s">
        <v>10</v>
      </c>
      <c r="C217" s="5">
        <v>44720</v>
      </c>
      <c r="D217" s="5">
        <v>45775</v>
      </c>
      <c r="E217" t="s">
        <v>28</v>
      </c>
      <c r="F217" t="s">
        <v>38</v>
      </c>
      <c r="G217" t="s">
        <v>44</v>
      </c>
      <c r="H217">
        <v>35</v>
      </c>
      <c r="I217">
        <v>19</v>
      </c>
      <c r="J217">
        <f>IF(AND(표1_[[#This Row],[유지회차]]=표1_[[#This Row],[회차리스트]], OR(B217="해지", B217="실효", B217="만기", B217="사망")), 1, 0)</f>
        <v>0</v>
      </c>
    </row>
    <row r="218" spans="1:10" x14ac:dyDescent="0.3">
      <c r="A218">
        <v>5</v>
      </c>
      <c r="B218" t="s">
        <v>10</v>
      </c>
      <c r="C218" s="5">
        <v>44720</v>
      </c>
      <c r="D218" s="5">
        <v>45775</v>
      </c>
      <c r="E218" t="s">
        <v>28</v>
      </c>
      <c r="F218" t="s">
        <v>38</v>
      </c>
      <c r="G218" t="s">
        <v>44</v>
      </c>
      <c r="H218">
        <v>35</v>
      </c>
      <c r="I218">
        <v>20</v>
      </c>
      <c r="J218">
        <f>IF(AND(표1_[[#This Row],[유지회차]]=표1_[[#This Row],[회차리스트]], OR(B218="해지", B218="실효", B218="만기", B218="사망")), 1, 0)</f>
        <v>0</v>
      </c>
    </row>
    <row r="219" spans="1:10" x14ac:dyDescent="0.3">
      <c r="A219">
        <v>5</v>
      </c>
      <c r="B219" t="s">
        <v>10</v>
      </c>
      <c r="C219" s="5">
        <v>44720</v>
      </c>
      <c r="D219" s="5">
        <v>45775</v>
      </c>
      <c r="E219" t="s">
        <v>28</v>
      </c>
      <c r="F219" t="s">
        <v>38</v>
      </c>
      <c r="G219" t="s">
        <v>44</v>
      </c>
      <c r="H219">
        <v>35</v>
      </c>
      <c r="I219">
        <v>21</v>
      </c>
      <c r="J219">
        <f>IF(AND(표1_[[#This Row],[유지회차]]=표1_[[#This Row],[회차리스트]], OR(B219="해지", B219="실효", B219="만기", B219="사망")), 1, 0)</f>
        <v>0</v>
      </c>
    </row>
    <row r="220" spans="1:10" x14ac:dyDescent="0.3">
      <c r="A220">
        <v>5</v>
      </c>
      <c r="B220" t="s">
        <v>10</v>
      </c>
      <c r="C220" s="5">
        <v>44720</v>
      </c>
      <c r="D220" s="5">
        <v>45775</v>
      </c>
      <c r="E220" t="s">
        <v>28</v>
      </c>
      <c r="F220" t="s">
        <v>38</v>
      </c>
      <c r="G220" t="s">
        <v>44</v>
      </c>
      <c r="H220">
        <v>35</v>
      </c>
      <c r="I220">
        <v>22</v>
      </c>
      <c r="J220">
        <f>IF(AND(표1_[[#This Row],[유지회차]]=표1_[[#This Row],[회차리스트]], OR(B220="해지", B220="실효", B220="만기", B220="사망")), 1, 0)</f>
        <v>0</v>
      </c>
    </row>
    <row r="221" spans="1:10" x14ac:dyDescent="0.3">
      <c r="A221">
        <v>5</v>
      </c>
      <c r="B221" t="s">
        <v>10</v>
      </c>
      <c r="C221" s="5">
        <v>44720</v>
      </c>
      <c r="D221" s="5">
        <v>45775</v>
      </c>
      <c r="E221" t="s">
        <v>28</v>
      </c>
      <c r="F221" t="s">
        <v>38</v>
      </c>
      <c r="G221" t="s">
        <v>44</v>
      </c>
      <c r="H221">
        <v>35</v>
      </c>
      <c r="I221">
        <v>23</v>
      </c>
      <c r="J221">
        <f>IF(AND(표1_[[#This Row],[유지회차]]=표1_[[#This Row],[회차리스트]], OR(B221="해지", B221="실효", B221="만기", B221="사망")), 1, 0)</f>
        <v>0</v>
      </c>
    </row>
    <row r="222" spans="1:10" x14ac:dyDescent="0.3">
      <c r="A222">
        <v>5</v>
      </c>
      <c r="B222" t="s">
        <v>10</v>
      </c>
      <c r="C222" s="5">
        <v>44720</v>
      </c>
      <c r="D222" s="5">
        <v>45775</v>
      </c>
      <c r="E222" t="s">
        <v>28</v>
      </c>
      <c r="F222" t="s">
        <v>38</v>
      </c>
      <c r="G222" t="s">
        <v>44</v>
      </c>
      <c r="H222">
        <v>35</v>
      </c>
      <c r="I222">
        <v>24</v>
      </c>
      <c r="J222">
        <f>IF(AND(표1_[[#This Row],[유지회차]]=표1_[[#This Row],[회차리스트]], OR(B222="해지", B222="실효", B222="만기", B222="사망")), 1, 0)</f>
        <v>0</v>
      </c>
    </row>
    <row r="223" spans="1:10" x14ac:dyDescent="0.3">
      <c r="A223">
        <v>5</v>
      </c>
      <c r="B223" t="s">
        <v>10</v>
      </c>
      <c r="C223" s="5">
        <v>44720</v>
      </c>
      <c r="D223" s="5">
        <v>45775</v>
      </c>
      <c r="E223" t="s">
        <v>28</v>
      </c>
      <c r="F223" t="s">
        <v>38</v>
      </c>
      <c r="G223" t="s">
        <v>44</v>
      </c>
      <c r="H223">
        <v>35</v>
      </c>
      <c r="I223">
        <v>25</v>
      </c>
      <c r="J223">
        <f>IF(AND(표1_[[#This Row],[유지회차]]=표1_[[#This Row],[회차리스트]], OR(B223="해지", B223="실효", B223="만기", B223="사망")), 1, 0)</f>
        <v>0</v>
      </c>
    </row>
    <row r="224" spans="1:10" x14ac:dyDescent="0.3">
      <c r="A224">
        <v>5</v>
      </c>
      <c r="B224" t="s">
        <v>10</v>
      </c>
      <c r="C224" s="5">
        <v>44720</v>
      </c>
      <c r="D224" s="5">
        <v>45775</v>
      </c>
      <c r="E224" t="s">
        <v>28</v>
      </c>
      <c r="F224" t="s">
        <v>38</v>
      </c>
      <c r="G224" t="s">
        <v>44</v>
      </c>
      <c r="H224">
        <v>35</v>
      </c>
      <c r="I224">
        <v>26</v>
      </c>
      <c r="J224">
        <f>IF(AND(표1_[[#This Row],[유지회차]]=표1_[[#This Row],[회차리스트]], OR(B224="해지", B224="실효", B224="만기", B224="사망")), 1, 0)</f>
        <v>0</v>
      </c>
    </row>
    <row r="225" spans="1:10" x14ac:dyDescent="0.3">
      <c r="A225">
        <v>5</v>
      </c>
      <c r="B225" t="s">
        <v>10</v>
      </c>
      <c r="C225" s="5">
        <v>44720</v>
      </c>
      <c r="D225" s="5">
        <v>45775</v>
      </c>
      <c r="E225" t="s">
        <v>28</v>
      </c>
      <c r="F225" t="s">
        <v>38</v>
      </c>
      <c r="G225" t="s">
        <v>44</v>
      </c>
      <c r="H225">
        <v>35</v>
      </c>
      <c r="I225">
        <v>27</v>
      </c>
      <c r="J225">
        <f>IF(AND(표1_[[#This Row],[유지회차]]=표1_[[#This Row],[회차리스트]], OR(B225="해지", B225="실효", B225="만기", B225="사망")), 1, 0)</f>
        <v>0</v>
      </c>
    </row>
    <row r="226" spans="1:10" x14ac:dyDescent="0.3">
      <c r="A226">
        <v>5</v>
      </c>
      <c r="B226" t="s">
        <v>10</v>
      </c>
      <c r="C226" s="5">
        <v>44720</v>
      </c>
      <c r="D226" s="5">
        <v>45775</v>
      </c>
      <c r="E226" t="s">
        <v>28</v>
      </c>
      <c r="F226" t="s">
        <v>38</v>
      </c>
      <c r="G226" t="s">
        <v>44</v>
      </c>
      <c r="H226">
        <v>35</v>
      </c>
      <c r="I226">
        <v>28</v>
      </c>
      <c r="J226">
        <f>IF(AND(표1_[[#This Row],[유지회차]]=표1_[[#This Row],[회차리스트]], OR(B226="해지", B226="실효", B226="만기", B226="사망")), 1, 0)</f>
        <v>0</v>
      </c>
    </row>
    <row r="227" spans="1:10" x14ac:dyDescent="0.3">
      <c r="A227">
        <v>5</v>
      </c>
      <c r="B227" t="s">
        <v>10</v>
      </c>
      <c r="C227" s="5">
        <v>44720</v>
      </c>
      <c r="D227" s="5">
        <v>45775</v>
      </c>
      <c r="E227" t="s">
        <v>28</v>
      </c>
      <c r="F227" t="s">
        <v>38</v>
      </c>
      <c r="G227" t="s">
        <v>44</v>
      </c>
      <c r="H227">
        <v>35</v>
      </c>
      <c r="I227">
        <v>29</v>
      </c>
      <c r="J227">
        <f>IF(AND(표1_[[#This Row],[유지회차]]=표1_[[#This Row],[회차리스트]], OR(B227="해지", B227="실효", B227="만기", B227="사망")), 1, 0)</f>
        <v>0</v>
      </c>
    </row>
    <row r="228" spans="1:10" x14ac:dyDescent="0.3">
      <c r="A228">
        <v>5</v>
      </c>
      <c r="B228" t="s">
        <v>10</v>
      </c>
      <c r="C228" s="5">
        <v>44720</v>
      </c>
      <c r="D228" s="5">
        <v>45775</v>
      </c>
      <c r="E228" t="s">
        <v>28</v>
      </c>
      <c r="F228" t="s">
        <v>38</v>
      </c>
      <c r="G228" t="s">
        <v>44</v>
      </c>
      <c r="H228">
        <v>35</v>
      </c>
      <c r="I228">
        <v>30</v>
      </c>
      <c r="J228">
        <f>IF(AND(표1_[[#This Row],[유지회차]]=표1_[[#This Row],[회차리스트]], OR(B228="해지", B228="실효", B228="만기", B228="사망")), 1, 0)</f>
        <v>0</v>
      </c>
    </row>
    <row r="229" spans="1:10" x14ac:dyDescent="0.3">
      <c r="A229">
        <v>5</v>
      </c>
      <c r="B229" t="s">
        <v>10</v>
      </c>
      <c r="C229" s="5">
        <v>44720</v>
      </c>
      <c r="D229" s="5">
        <v>45775</v>
      </c>
      <c r="E229" t="s">
        <v>28</v>
      </c>
      <c r="F229" t="s">
        <v>38</v>
      </c>
      <c r="G229" t="s">
        <v>44</v>
      </c>
      <c r="H229">
        <v>35</v>
      </c>
      <c r="I229">
        <v>31</v>
      </c>
      <c r="J229">
        <f>IF(AND(표1_[[#This Row],[유지회차]]=표1_[[#This Row],[회차리스트]], OR(B229="해지", B229="실효", B229="만기", B229="사망")), 1, 0)</f>
        <v>0</v>
      </c>
    </row>
    <row r="230" spans="1:10" x14ac:dyDescent="0.3">
      <c r="A230">
        <v>5</v>
      </c>
      <c r="B230" t="s">
        <v>10</v>
      </c>
      <c r="C230" s="5">
        <v>44720</v>
      </c>
      <c r="D230" s="5">
        <v>45775</v>
      </c>
      <c r="E230" t="s">
        <v>28</v>
      </c>
      <c r="F230" t="s">
        <v>38</v>
      </c>
      <c r="G230" t="s">
        <v>44</v>
      </c>
      <c r="H230">
        <v>35</v>
      </c>
      <c r="I230">
        <v>32</v>
      </c>
      <c r="J230">
        <f>IF(AND(표1_[[#This Row],[유지회차]]=표1_[[#This Row],[회차리스트]], OR(B230="해지", B230="실효", B230="만기", B230="사망")), 1, 0)</f>
        <v>0</v>
      </c>
    </row>
    <row r="231" spans="1:10" x14ac:dyDescent="0.3">
      <c r="A231">
        <v>5</v>
      </c>
      <c r="B231" t="s">
        <v>10</v>
      </c>
      <c r="C231" s="5">
        <v>44720</v>
      </c>
      <c r="D231" s="5">
        <v>45775</v>
      </c>
      <c r="E231" t="s">
        <v>28</v>
      </c>
      <c r="F231" t="s">
        <v>38</v>
      </c>
      <c r="G231" t="s">
        <v>44</v>
      </c>
      <c r="H231">
        <v>35</v>
      </c>
      <c r="I231">
        <v>33</v>
      </c>
      <c r="J231">
        <f>IF(AND(표1_[[#This Row],[유지회차]]=표1_[[#This Row],[회차리스트]], OR(B231="해지", B231="실효", B231="만기", B231="사망")), 1, 0)</f>
        <v>0</v>
      </c>
    </row>
    <row r="232" spans="1:10" x14ac:dyDescent="0.3">
      <c r="A232">
        <v>5</v>
      </c>
      <c r="B232" t="s">
        <v>10</v>
      </c>
      <c r="C232" s="5">
        <v>44720</v>
      </c>
      <c r="D232" s="5">
        <v>45775</v>
      </c>
      <c r="E232" t="s">
        <v>28</v>
      </c>
      <c r="F232" t="s">
        <v>38</v>
      </c>
      <c r="G232" t="s">
        <v>44</v>
      </c>
      <c r="H232">
        <v>35</v>
      </c>
      <c r="I232">
        <v>34</v>
      </c>
      <c r="J232">
        <f>IF(AND(표1_[[#This Row],[유지회차]]=표1_[[#This Row],[회차리스트]], OR(B232="해지", B232="실효", B232="만기", B232="사망")), 1, 0)</f>
        <v>0</v>
      </c>
    </row>
    <row r="233" spans="1:10" x14ac:dyDescent="0.3">
      <c r="A233">
        <v>5</v>
      </c>
      <c r="B233" t="s">
        <v>10</v>
      </c>
      <c r="C233" s="5">
        <v>44720</v>
      </c>
      <c r="D233" s="5">
        <v>45775</v>
      </c>
      <c r="E233" t="s">
        <v>28</v>
      </c>
      <c r="F233" t="s">
        <v>38</v>
      </c>
      <c r="G233" t="s">
        <v>44</v>
      </c>
      <c r="H233">
        <v>35</v>
      </c>
      <c r="I233">
        <v>35</v>
      </c>
      <c r="J233">
        <f>IF(AND(표1_[[#This Row],[유지회차]]=표1_[[#This Row],[회차리스트]], OR(B233="해지", B233="실효", B233="만기", B233="사망")), 1, 0)</f>
        <v>1</v>
      </c>
    </row>
    <row r="234" spans="1:10" x14ac:dyDescent="0.3">
      <c r="A234">
        <v>6</v>
      </c>
      <c r="B234" t="s">
        <v>6</v>
      </c>
      <c r="C234" s="5">
        <v>45319</v>
      </c>
      <c r="D234" s="5">
        <v>46112</v>
      </c>
      <c r="E234" t="s">
        <v>22</v>
      </c>
      <c r="F234" t="s">
        <v>34</v>
      </c>
      <c r="G234" t="s">
        <v>44</v>
      </c>
      <c r="H234">
        <v>27</v>
      </c>
      <c r="I234">
        <v>1</v>
      </c>
      <c r="J234">
        <f>IF(AND(표1_[[#This Row],[유지회차]]=표1_[[#This Row],[회차리스트]], OR(B234="해지", B234="실효", B234="만기", B234="사망")), 1, 0)</f>
        <v>0</v>
      </c>
    </row>
    <row r="235" spans="1:10" x14ac:dyDescent="0.3">
      <c r="A235">
        <v>6</v>
      </c>
      <c r="B235" t="s">
        <v>6</v>
      </c>
      <c r="C235" s="5">
        <v>45319</v>
      </c>
      <c r="D235" s="5">
        <v>46112</v>
      </c>
      <c r="E235" t="s">
        <v>22</v>
      </c>
      <c r="F235" t="s">
        <v>34</v>
      </c>
      <c r="G235" t="s">
        <v>44</v>
      </c>
      <c r="H235">
        <v>27</v>
      </c>
      <c r="I235">
        <v>2</v>
      </c>
      <c r="J235">
        <f>IF(AND(표1_[[#This Row],[유지회차]]=표1_[[#This Row],[회차리스트]], OR(B235="해지", B235="실효", B235="만기", B235="사망")), 1, 0)</f>
        <v>0</v>
      </c>
    </row>
    <row r="236" spans="1:10" x14ac:dyDescent="0.3">
      <c r="A236">
        <v>6</v>
      </c>
      <c r="B236" t="s">
        <v>6</v>
      </c>
      <c r="C236" s="5">
        <v>45319</v>
      </c>
      <c r="D236" s="5">
        <v>46112</v>
      </c>
      <c r="E236" t="s">
        <v>22</v>
      </c>
      <c r="F236" t="s">
        <v>34</v>
      </c>
      <c r="G236" t="s">
        <v>44</v>
      </c>
      <c r="H236">
        <v>27</v>
      </c>
      <c r="I236">
        <v>3</v>
      </c>
      <c r="J236">
        <f>IF(AND(표1_[[#This Row],[유지회차]]=표1_[[#This Row],[회차리스트]], OR(B236="해지", B236="실효", B236="만기", B236="사망")), 1, 0)</f>
        <v>0</v>
      </c>
    </row>
    <row r="237" spans="1:10" x14ac:dyDescent="0.3">
      <c r="A237">
        <v>6</v>
      </c>
      <c r="B237" t="s">
        <v>6</v>
      </c>
      <c r="C237" s="5">
        <v>45319</v>
      </c>
      <c r="D237" s="5">
        <v>46112</v>
      </c>
      <c r="E237" t="s">
        <v>22</v>
      </c>
      <c r="F237" t="s">
        <v>34</v>
      </c>
      <c r="G237" t="s">
        <v>44</v>
      </c>
      <c r="H237">
        <v>27</v>
      </c>
      <c r="I237">
        <v>4</v>
      </c>
      <c r="J237">
        <f>IF(AND(표1_[[#This Row],[유지회차]]=표1_[[#This Row],[회차리스트]], OR(B237="해지", B237="실효", B237="만기", B237="사망")), 1, 0)</f>
        <v>0</v>
      </c>
    </row>
    <row r="238" spans="1:10" x14ac:dyDescent="0.3">
      <c r="A238">
        <v>6</v>
      </c>
      <c r="B238" t="s">
        <v>6</v>
      </c>
      <c r="C238" s="5">
        <v>45319</v>
      </c>
      <c r="D238" s="5">
        <v>46112</v>
      </c>
      <c r="E238" t="s">
        <v>22</v>
      </c>
      <c r="F238" t="s">
        <v>34</v>
      </c>
      <c r="G238" t="s">
        <v>44</v>
      </c>
      <c r="H238">
        <v>27</v>
      </c>
      <c r="I238">
        <v>5</v>
      </c>
      <c r="J238">
        <f>IF(AND(표1_[[#This Row],[유지회차]]=표1_[[#This Row],[회차리스트]], OR(B238="해지", B238="실효", B238="만기", B238="사망")), 1, 0)</f>
        <v>0</v>
      </c>
    </row>
    <row r="239" spans="1:10" x14ac:dyDescent="0.3">
      <c r="A239">
        <v>6</v>
      </c>
      <c r="B239" t="s">
        <v>6</v>
      </c>
      <c r="C239" s="5">
        <v>45319</v>
      </c>
      <c r="D239" s="5">
        <v>46112</v>
      </c>
      <c r="E239" t="s">
        <v>22</v>
      </c>
      <c r="F239" t="s">
        <v>34</v>
      </c>
      <c r="G239" t="s">
        <v>44</v>
      </c>
      <c r="H239">
        <v>27</v>
      </c>
      <c r="I239">
        <v>6</v>
      </c>
      <c r="J239">
        <f>IF(AND(표1_[[#This Row],[유지회차]]=표1_[[#This Row],[회차리스트]], OR(B239="해지", B239="실효", B239="만기", B239="사망")), 1, 0)</f>
        <v>0</v>
      </c>
    </row>
    <row r="240" spans="1:10" x14ac:dyDescent="0.3">
      <c r="A240">
        <v>6</v>
      </c>
      <c r="B240" t="s">
        <v>6</v>
      </c>
      <c r="C240" s="5">
        <v>45319</v>
      </c>
      <c r="D240" s="5">
        <v>46112</v>
      </c>
      <c r="E240" t="s">
        <v>22</v>
      </c>
      <c r="F240" t="s">
        <v>34</v>
      </c>
      <c r="G240" t="s">
        <v>44</v>
      </c>
      <c r="H240">
        <v>27</v>
      </c>
      <c r="I240">
        <v>7</v>
      </c>
      <c r="J240">
        <f>IF(AND(표1_[[#This Row],[유지회차]]=표1_[[#This Row],[회차리스트]], OR(B240="해지", B240="실효", B240="만기", B240="사망")), 1, 0)</f>
        <v>0</v>
      </c>
    </row>
    <row r="241" spans="1:10" x14ac:dyDescent="0.3">
      <c r="A241">
        <v>6</v>
      </c>
      <c r="B241" t="s">
        <v>6</v>
      </c>
      <c r="C241" s="5">
        <v>45319</v>
      </c>
      <c r="D241" s="5">
        <v>46112</v>
      </c>
      <c r="E241" t="s">
        <v>22</v>
      </c>
      <c r="F241" t="s">
        <v>34</v>
      </c>
      <c r="G241" t="s">
        <v>44</v>
      </c>
      <c r="H241">
        <v>27</v>
      </c>
      <c r="I241">
        <v>8</v>
      </c>
      <c r="J241">
        <f>IF(AND(표1_[[#This Row],[유지회차]]=표1_[[#This Row],[회차리스트]], OR(B241="해지", B241="실효", B241="만기", B241="사망")), 1, 0)</f>
        <v>0</v>
      </c>
    </row>
    <row r="242" spans="1:10" x14ac:dyDescent="0.3">
      <c r="A242">
        <v>6</v>
      </c>
      <c r="B242" t="s">
        <v>6</v>
      </c>
      <c r="C242" s="5">
        <v>45319</v>
      </c>
      <c r="D242" s="5">
        <v>46112</v>
      </c>
      <c r="E242" t="s">
        <v>22</v>
      </c>
      <c r="F242" t="s">
        <v>34</v>
      </c>
      <c r="G242" t="s">
        <v>44</v>
      </c>
      <c r="H242">
        <v>27</v>
      </c>
      <c r="I242">
        <v>9</v>
      </c>
      <c r="J242">
        <f>IF(AND(표1_[[#This Row],[유지회차]]=표1_[[#This Row],[회차리스트]], OR(B242="해지", B242="실효", B242="만기", B242="사망")), 1, 0)</f>
        <v>0</v>
      </c>
    </row>
    <row r="243" spans="1:10" x14ac:dyDescent="0.3">
      <c r="A243">
        <v>6</v>
      </c>
      <c r="B243" t="s">
        <v>6</v>
      </c>
      <c r="C243" s="5">
        <v>45319</v>
      </c>
      <c r="D243" s="5">
        <v>46112</v>
      </c>
      <c r="E243" t="s">
        <v>22</v>
      </c>
      <c r="F243" t="s">
        <v>34</v>
      </c>
      <c r="G243" t="s">
        <v>44</v>
      </c>
      <c r="H243">
        <v>27</v>
      </c>
      <c r="I243">
        <v>10</v>
      </c>
      <c r="J243">
        <f>IF(AND(표1_[[#This Row],[유지회차]]=표1_[[#This Row],[회차리스트]], OR(B243="해지", B243="실효", B243="만기", B243="사망")), 1, 0)</f>
        <v>0</v>
      </c>
    </row>
    <row r="244" spans="1:10" x14ac:dyDescent="0.3">
      <c r="A244">
        <v>6</v>
      </c>
      <c r="B244" t="s">
        <v>6</v>
      </c>
      <c r="C244" s="5">
        <v>45319</v>
      </c>
      <c r="D244" s="5">
        <v>46112</v>
      </c>
      <c r="E244" t="s">
        <v>22</v>
      </c>
      <c r="F244" t="s">
        <v>34</v>
      </c>
      <c r="G244" t="s">
        <v>44</v>
      </c>
      <c r="H244">
        <v>27</v>
      </c>
      <c r="I244">
        <v>11</v>
      </c>
      <c r="J244">
        <f>IF(AND(표1_[[#This Row],[유지회차]]=표1_[[#This Row],[회차리스트]], OR(B244="해지", B244="실효", B244="만기", B244="사망")), 1, 0)</f>
        <v>0</v>
      </c>
    </row>
    <row r="245" spans="1:10" x14ac:dyDescent="0.3">
      <c r="A245">
        <v>6</v>
      </c>
      <c r="B245" t="s">
        <v>6</v>
      </c>
      <c r="C245" s="5">
        <v>45319</v>
      </c>
      <c r="D245" s="5">
        <v>46112</v>
      </c>
      <c r="E245" t="s">
        <v>22</v>
      </c>
      <c r="F245" t="s">
        <v>34</v>
      </c>
      <c r="G245" t="s">
        <v>44</v>
      </c>
      <c r="H245">
        <v>27</v>
      </c>
      <c r="I245">
        <v>12</v>
      </c>
      <c r="J245">
        <f>IF(AND(표1_[[#This Row],[유지회차]]=표1_[[#This Row],[회차리스트]], OR(B245="해지", B245="실효", B245="만기", B245="사망")), 1, 0)</f>
        <v>0</v>
      </c>
    </row>
    <row r="246" spans="1:10" x14ac:dyDescent="0.3">
      <c r="A246">
        <v>6</v>
      </c>
      <c r="B246" t="s">
        <v>6</v>
      </c>
      <c r="C246" s="5">
        <v>45319</v>
      </c>
      <c r="D246" s="5">
        <v>46112</v>
      </c>
      <c r="E246" t="s">
        <v>22</v>
      </c>
      <c r="F246" t="s">
        <v>34</v>
      </c>
      <c r="G246" t="s">
        <v>44</v>
      </c>
      <c r="H246">
        <v>27</v>
      </c>
      <c r="I246">
        <v>13</v>
      </c>
      <c r="J246">
        <f>IF(AND(표1_[[#This Row],[유지회차]]=표1_[[#This Row],[회차리스트]], OR(B246="해지", B246="실효", B246="만기", B246="사망")), 1, 0)</f>
        <v>0</v>
      </c>
    </row>
    <row r="247" spans="1:10" x14ac:dyDescent="0.3">
      <c r="A247">
        <v>6</v>
      </c>
      <c r="B247" t="s">
        <v>6</v>
      </c>
      <c r="C247" s="5">
        <v>45319</v>
      </c>
      <c r="D247" s="5">
        <v>46112</v>
      </c>
      <c r="E247" t="s">
        <v>22</v>
      </c>
      <c r="F247" t="s">
        <v>34</v>
      </c>
      <c r="G247" t="s">
        <v>44</v>
      </c>
      <c r="H247">
        <v>27</v>
      </c>
      <c r="I247">
        <v>14</v>
      </c>
      <c r="J247">
        <f>IF(AND(표1_[[#This Row],[유지회차]]=표1_[[#This Row],[회차리스트]], OR(B247="해지", B247="실효", B247="만기", B247="사망")), 1, 0)</f>
        <v>0</v>
      </c>
    </row>
    <row r="248" spans="1:10" x14ac:dyDescent="0.3">
      <c r="A248">
        <v>6</v>
      </c>
      <c r="B248" t="s">
        <v>6</v>
      </c>
      <c r="C248" s="5">
        <v>45319</v>
      </c>
      <c r="D248" s="5">
        <v>46112</v>
      </c>
      <c r="E248" t="s">
        <v>22</v>
      </c>
      <c r="F248" t="s">
        <v>34</v>
      </c>
      <c r="G248" t="s">
        <v>44</v>
      </c>
      <c r="H248">
        <v>27</v>
      </c>
      <c r="I248">
        <v>15</v>
      </c>
      <c r="J248">
        <f>IF(AND(표1_[[#This Row],[유지회차]]=표1_[[#This Row],[회차리스트]], OR(B248="해지", B248="실효", B248="만기", B248="사망")), 1, 0)</f>
        <v>0</v>
      </c>
    </row>
    <row r="249" spans="1:10" x14ac:dyDescent="0.3">
      <c r="A249">
        <v>6</v>
      </c>
      <c r="B249" t="s">
        <v>6</v>
      </c>
      <c r="C249" s="5">
        <v>45319</v>
      </c>
      <c r="D249" s="5">
        <v>46112</v>
      </c>
      <c r="E249" t="s">
        <v>22</v>
      </c>
      <c r="F249" t="s">
        <v>34</v>
      </c>
      <c r="G249" t="s">
        <v>44</v>
      </c>
      <c r="H249">
        <v>27</v>
      </c>
      <c r="I249">
        <v>16</v>
      </c>
      <c r="J249">
        <f>IF(AND(표1_[[#This Row],[유지회차]]=표1_[[#This Row],[회차리스트]], OR(B249="해지", B249="실효", B249="만기", B249="사망")), 1, 0)</f>
        <v>0</v>
      </c>
    </row>
    <row r="250" spans="1:10" x14ac:dyDescent="0.3">
      <c r="A250">
        <v>6</v>
      </c>
      <c r="B250" t="s">
        <v>6</v>
      </c>
      <c r="C250" s="5">
        <v>45319</v>
      </c>
      <c r="D250" s="5">
        <v>46112</v>
      </c>
      <c r="E250" t="s">
        <v>22</v>
      </c>
      <c r="F250" t="s">
        <v>34</v>
      </c>
      <c r="G250" t="s">
        <v>44</v>
      </c>
      <c r="H250">
        <v>27</v>
      </c>
      <c r="I250">
        <v>17</v>
      </c>
      <c r="J250">
        <f>IF(AND(표1_[[#This Row],[유지회차]]=표1_[[#This Row],[회차리스트]], OR(B250="해지", B250="실효", B250="만기", B250="사망")), 1, 0)</f>
        <v>0</v>
      </c>
    </row>
    <row r="251" spans="1:10" x14ac:dyDescent="0.3">
      <c r="A251">
        <v>6</v>
      </c>
      <c r="B251" t="s">
        <v>6</v>
      </c>
      <c r="C251" s="5">
        <v>45319</v>
      </c>
      <c r="D251" s="5">
        <v>46112</v>
      </c>
      <c r="E251" t="s">
        <v>22</v>
      </c>
      <c r="F251" t="s">
        <v>34</v>
      </c>
      <c r="G251" t="s">
        <v>44</v>
      </c>
      <c r="H251">
        <v>27</v>
      </c>
      <c r="I251">
        <v>18</v>
      </c>
      <c r="J251">
        <f>IF(AND(표1_[[#This Row],[유지회차]]=표1_[[#This Row],[회차리스트]], OR(B251="해지", B251="실효", B251="만기", B251="사망")), 1, 0)</f>
        <v>0</v>
      </c>
    </row>
    <row r="252" spans="1:10" x14ac:dyDescent="0.3">
      <c r="A252">
        <v>6</v>
      </c>
      <c r="B252" t="s">
        <v>6</v>
      </c>
      <c r="C252" s="5">
        <v>45319</v>
      </c>
      <c r="D252" s="5">
        <v>46112</v>
      </c>
      <c r="E252" t="s">
        <v>22</v>
      </c>
      <c r="F252" t="s">
        <v>34</v>
      </c>
      <c r="G252" t="s">
        <v>44</v>
      </c>
      <c r="H252">
        <v>27</v>
      </c>
      <c r="I252">
        <v>19</v>
      </c>
      <c r="J252">
        <f>IF(AND(표1_[[#This Row],[유지회차]]=표1_[[#This Row],[회차리스트]], OR(B252="해지", B252="실효", B252="만기", B252="사망")), 1, 0)</f>
        <v>0</v>
      </c>
    </row>
    <row r="253" spans="1:10" x14ac:dyDescent="0.3">
      <c r="A253">
        <v>6</v>
      </c>
      <c r="B253" t="s">
        <v>6</v>
      </c>
      <c r="C253" s="5">
        <v>45319</v>
      </c>
      <c r="D253" s="5">
        <v>46112</v>
      </c>
      <c r="E253" t="s">
        <v>22</v>
      </c>
      <c r="F253" t="s">
        <v>34</v>
      </c>
      <c r="G253" t="s">
        <v>44</v>
      </c>
      <c r="H253">
        <v>27</v>
      </c>
      <c r="I253">
        <v>20</v>
      </c>
      <c r="J253">
        <f>IF(AND(표1_[[#This Row],[유지회차]]=표1_[[#This Row],[회차리스트]], OR(B253="해지", B253="실효", B253="만기", B253="사망")), 1, 0)</f>
        <v>0</v>
      </c>
    </row>
    <row r="254" spans="1:10" x14ac:dyDescent="0.3">
      <c r="A254">
        <v>6</v>
      </c>
      <c r="B254" t="s">
        <v>6</v>
      </c>
      <c r="C254" s="5">
        <v>45319</v>
      </c>
      <c r="D254" s="5">
        <v>46112</v>
      </c>
      <c r="E254" t="s">
        <v>22</v>
      </c>
      <c r="F254" t="s">
        <v>34</v>
      </c>
      <c r="G254" t="s">
        <v>44</v>
      </c>
      <c r="H254">
        <v>27</v>
      </c>
      <c r="I254">
        <v>21</v>
      </c>
      <c r="J254">
        <f>IF(AND(표1_[[#This Row],[유지회차]]=표1_[[#This Row],[회차리스트]], OR(B254="해지", B254="실효", B254="만기", B254="사망")), 1, 0)</f>
        <v>0</v>
      </c>
    </row>
    <row r="255" spans="1:10" x14ac:dyDescent="0.3">
      <c r="A255">
        <v>6</v>
      </c>
      <c r="B255" t="s">
        <v>6</v>
      </c>
      <c r="C255" s="5">
        <v>45319</v>
      </c>
      <c r="D255" s="5">
        <v>46112</v>
      </c>
      <c r="E255" t="s">
        <v>22</v>
      </c>
      <c r="F255" t="s">
        <v>34</v>
      </c>
      <c r="G255" t="s">
        <v>44</v>
      </c>
      <c r="H255">
        <v>27</v>
      </c>
      <c r="I255">
        <v>22</v>
      </c>
      <c r="J255">
        <f>IF(AND(표1_[[#This Row],[유지회차]]=표1_[[#This Row],[회차리스트]], OR(B255="해지", B255="실효", B255="만기", B255="사망")), 1, 0)</f>
        <v>0</v>
      </c>
    </row>
    <row r="256" spans="1:10" x14ac:dyDescent="0.3">
      <c r="A256">
        <v>6</v>
      </c>
      <c r="B256" t="s">
        <v>6</v>
      </c>
      <c r="C256" s="5">
        <v>45319</v>
      </c>
      <c r="D256" s="5">
        <v>46112</v>
      </c>
      <c r="E256" t="s">
        <v>22</v>
      </c>
      <c r="F256" t="s">
        <v>34</v>
      </c>
      <c r="G256" t="s">
        <v>44</v>
      </c>
      <c r="H256">
        <v>27</v>
      </c>
      <c r="I256">
        <v>23</v>
      </c>
      <c r="J256">
        <f>IF(AND(표1_[[#This Row],[유지회차]]=표1_[[#This Row],[회차리스트]], OR(B256="해지", B256="실효", B256="만기", B256="사망")), 1, 0)</f>
        <v>0</v>
      </c>
    </row>
    <row r="257" spans="1:10" x14ac:dyDescent="0.3">
      <c r="A257">
        <v>6</v>
      </c>
      <c r="B257" t="s">
        <v>6</v>
      </c>
      <c r="C257" s="5">
        <v>45319</v>
      </c>
      <c r="D257" s="5">
        <v>46112</v>
      </c>
      <c r="E257" t="s">
        <v>22</v>
      </c>
      <c r="F257" t="s">
        <v>34</v>
      </c>
      <c r="G257" t="s">
        <v>44</v>
      </c>
      <c r="H257">
        <v>27</v>
      </c>
      <c r="I257">
        <v>24</v>
      </c>
      <c r="J257">
        <f>IF(AND(표1_[[#This Row],[유지회차]]=표1_[[#This Row],[회차리스트]], OR(B257="해지", B257="실효", B257="만기", B257="사망")), 1, 0)</f>
        <v>0</v>
      </c>
    </row>
    <row r="258" spans="1:10" x14ac:dyDescent="0.3">
      <c r="A258">
        <v>6</v>
      </c>
      <c r="B258" t="s">
        <v>6</v>
      </c>
      <c r="C258" s="5">
        <v>45319</v>
      </c>
      <c r="D258" s="5">
        <v>46112</v>
      </c>
      <c r="E258" t="s">
        <v>22</v>
      </c>
      <c r="F258" t="s">
        <v>34</v>
      </c>
      <c r="G258" t="s">
        <v>44</v>
      </c>
      <c r="H258">
        <v>27</v>
      </c>
      <c r="I258">
        <v>25</v>
      </c>
      <c r="J258">
        <f>IF(AND(표1_[[#This Row],[유지회차]]=표1_[[#This Row],[회차리스트]], OR(B258="해지", B258="실효", B258="만기", B258="사망")), 1, 0)</f>
        <v>0</v>
      </c>
    </row>
    <row r="259" spans="1:10" x14ac:dyDescent="0.3">
      <c r="A259">
        <v>6</v>
      </c>
      <c r="B259" t="s">
        <v>6</v>
      </c>
      <c r="C259" s="5">
        <v>45319</v>
      </c>
      <c r="D259" s="5">
        <v>46112</v>
      </c>
      <c r="E259" t="s">
        <v>22</v>
      </c>
      <c r="F259" t="s">
        <v>34</v>
      </c>
      <c r="G259" t="s">
        <v>44</v>
      </c>
      <c r="H259">
        <v>27</v>
      </c>
      <c r="I259">
        <v>26</v>
      </c>
      <c r="J259">
        <f>IF(AND(표1_[[#This Row],[유지회차]]=표1_[[#This Row],[회차리스트]], OR(B259="해지", B259="실효", B259="만기", B259="사망")), 1, 0)</f>
        <v>0</v>
      </c>
    </row>
    <row r="260" spans="1:10" x14ac:dyDescent="0.3">
      <c r="A260">
        <v>6</v>
      </c>
      <c r="B260" t="s">
        <v>6</v>
      </c>
      <c r="C260" s="5">
        <v>45319</v>
      </c>
      <c r="D260" s="5">
        <v>46112</v>
      </c>
      <c r="E260" t="s">
        <v>22</v>
      </c>
      <c r="F260" t="s">
        <v>34</v>
      </c>
      <c r="G260" t="s">
        <v>44</v>
      </c>
      <c r="H260">
        <v>27</v>
      </c>
      <c r="I260">
        <v>27</v>
      </c>
      <c r="J260">
        <f>IF(AND(표1_[[#This Row],[유지회차]]=표1_[[#This Row],[회차리스트]], OR(B260="해지", B260="실효", B260="만기", B260="사망")), 1, 0)</f>
        <v>0</v>
      </c>
    </row>
    <row r="261" spans="1:10" x14ac:dyDescent="0.3">
      <c r="A261">
        <v>7</v>
      </c>
      <c r="B261" t="s">
        <v>6</v>
      </c>
      <c r="C261" s="5">
        <v>45658</v>
      </c>
      <c r="D261" s="5">
        <v>46112</v>
      </c>
      <c r="E261" t="s">
        <v>22</v>
      </c>
      <c r="F261" t="s">
        <v>32</v>
      </c>
      <c r="G261" t="s">
        <v>42</v>
      </c>
      <c r="H261">
        <v>15</v>
      </c>
      <c r="I261">
        <v>1</v>
      </c>
      <c r="J261">
        <f>IF(AND(표1_[[#This Row],[유지회차]]=표1_[[#This Row],[회차리스트]], OR(B261="해지", B261="실효", B261="만기", B261="사망")), 1, 0)</f>
        <v>0</v>
      </c>
    </row>
    <row r="262" spans="1:10" x14ac:dyDescent="0.3">
      <c r="A262">
        <v>7</v>
      </c>
      <c r="B262" t="s">
        <v>6</v>
      </c>
      <c r="C262" s="5">
        <v>45658</v>
      </c>
      <c r="D262" s="5">
        <v>46112</v>
      </c>
      <c r="E262" t="s">
        <v>22</v>
      </c>
      <c r="F262" t="s">
        <v>32</v>
      </c>
      <c r="G262" t="s">
        <v>42</v>
      </c>
      <c r="H262">
        <v>15</v>
      </c>
      <c r="I262">
        <v>2</v>
      </c>
      <c r="J262">
        <f>IF(AND(표1_[[#This Row],[유지회차]]=표1_[[#This Row],[회차리스트]], OR(B262="해지", B262="실효", B262="만기", B262="사망")), 1, 0)</f>
        <v>0</v>
      </c>
    </row>
    <row r="263" spans="1:10" x14ac:dyDescent="0.3">
      <c r="A263">
        <v>7</v>
      </c>
      <c r="B263" t="s">
        <v>6</v>
      </c>
      <c r="C263" s="5">
        <v>45658</v>
      </c>
      <c r="D263" s="5">
        <v>46112</v>
      </c>
      <c r="E263" t="s">
        <v>22</v>
      </c>
      <c r="F263" t="s">
        <v>32</v>
      </c>
      <c r="G263" t="s">
        <v>42</v>
      </c>
      <c r="H263">
        <v>15</v>
      </c>
      <c r="I263">
        <v>3</v>
      </c>
      <c r="J263">
        <f>IF(AND(표1_[[#This Row],[유지회차]]=표1_[[#This Row],[회차리스트]], OR(B263="해지", B263="실효", B263="만기", B263="사망")), 1, 0)</f>
        <v>0</v>
      </c>
    </row>
    <row r="264" spans="1:10" x14ac:dyDescent="0.3">
      <c r="A264">
        <v>7</v>
      </c>
      <c r="B264" t="s">
        <v>6</v>
      </c>
      <c r="C264" s="5">
        <v>45658</v>
      </c>
      <c r="D264" s="5">
        <v>46112</v>
      </c>
      <c r="E264" t="s">
        <v>22</v>
      </c>
      <c r="F264" t="s">
        <v>32</v>
      </c>
      <c r="G264" t="s">
        <v>42</v>
      </c>
      <c r="H264">
        <v>15</v>
      </c>
      <c r="I264">
        <v>4</v>
      </c>
      <c r="J264">
        <f>IF(AND(표1_[[#This Row],[유지회차]]=표1_[[#This Row],[회차리스트]], OR(B264="해지", B264="실효", B264="만기", B264="사망")), 1, 0)</f>
        <v>0</v>
      </c>
    </row>
    <row r="265" spans="1:10" x14ac:dyDescent="0.3">
      <c r="A265">
        <v>7</v>
      </c>
      <c r="B265" t="s">
        <v>6</v>
      </c>
      <c r="C265" s="5">
        <v>45658</v>
      </c>
      <c r="D265" s="5">
        <v>46112</v>
      </c>
      <c r="E265" t="s">
        <v>22</v>
      </c>
      <c r="F265" t="s">
        <v>32</v>
      </c>
      <c r="G265" t="s">
        <v>42</v>
      </c>
      <c r="H265">
        <v>15</v>
      </c>
      <c r="I265">
        <v>5</v>
      </c>
      <c r="J265">
        <f>IF(AND(표1_[[#This Row],[유지회차]]=표1_[[#This Row],[회차리스트]], OR(B265="해지", B265="실효", B265="만기", B265="사망")), 1, 0)</f>
        <v>0</v>
      </c>
    </row>
    <row r="266" spans="1:10" x14ac:dyDescent="0.3">
      <c r="A266">
        <v>7</v>
      </c>
      <c r="B266" t="s">
        <v>6</v>
      </c>
      <c r="C266" s="5">
        <v>45658</v>
      </c>
      <c r="D266" s="5">
        <v>46112</v>
      </c>
      <c r="E266" t="s">
        <v>22</v>
      </c>
      <c r="F266" t="s">
        <v>32</v>
      </c>
      <c r="G266" t="s">
        <v>42</v>
      </c>
      <c r="H266">
        <v>15</v>
      </c>
      <c r="I266">
        <v>6</v>
      </c>
      <c r="J266">
        <f>IF(AND(표1_[[#This Row],[유지회차]]=표1_[[#This Row],[회차리스트]], OR(B266="해지", B266="실효", B266="만기", B266="사망")), 1, 0)</f>
        <v>0</v>
      </c>
    </row>
    <row r="267" spans="1:10" x14ac:dyDescent="0.3">
      <c r="A267">
        <v>7</v>
      </c>
      <c r="B267" t="s">
        <v>6</v>
      </c>
      <c r="C267" s="5">
        <v>45658</v>
      </c>
      <c r="D267" s="5">
        <v>46112</v>
      </c>
      <c r="E267" t="s">
        <v>22</v>
      </c>
      <c r="F267" t="s">
        <v>32</v>
      </c>
      <c r="G267" t="s">
        <v>42</v>
      </c>
      <c r="H267">
        <v>15</v>
      </c>
      <c r="I267">
        <v>7</v>
      </c>
      <c r="J267">
        <f>IF(AND(표1_[[#This Row],[유지회차]]=표1_[[#This Row],[회차리스트]], OR(B267="해지", B267="실효", B267="만기", B267="사망")), 1, 0)</f>
        <v>0</v>
      </c>
    </row>
    <row r="268" spans="1:10" x14ac:dyDescent="0.3">
      <c r="A268">
        <v>7</v>
      </c>
      <c r="B268" t="s">
        <v>6</v>
      </c>
      <c r="C268" s="5">
        <v>45658</v>
      </c>
      <c r="D268" s="5">
        <v>46112</v>
      </c>
      <c r="E268" t="s">
        <v>22</v>
      </c>
      <c r="F268" t="s">
        <v>32</v>
      </c>
      <c r="G268" t="s">
        <v>42</v>
      </c>
      <c r="H268">
        <v>15</v>
      </c>
      <c r="I268">
        <v>8</v>
      </c>
      <c r="J268">
        <f>IF(AND(표1_[[#This Row],[유지회차]]=표1_[[#This Row],[회차리스트]], OR(B268="해지", B268="실효", B268="만기", B268="사망")), 1, 0)</f>
        <v>0</v>
      </c>
    </row>
    <row r="269" spans="1:10" x14ac:dyDescent="0.3">
      <c r="A269">
        <v>7</v>
      </c>
      <c r="B269" t="s">
        <v>6</v>
      </c>
      <c r="C269" s="5">
        <v>45658</v>
      </c>
      <c r="D269" s="5">
        <v>46112</v>
      </c>
      <c r="E269" t="s">
        <v>22</v>
      </c>
      <c r="F269" t="s">
        <v>32</v>
      </c>
      <c r="G269" t="s">
        <v>42</v>
      </c>
      <c r="H269">
        <v>15</v>
      </c>
      <c r="I269">
        <v>9</v>
      </c>
      <c r="J269">
        <f>IF(AND(표1_[[#This Row],[유지회차]]=표1_[[#This Row],[회차리스트]], OR(B269="해지", B269="실효", B269="만기", B269="사망")), 1, 0)</f>
        <v>0</v>
      </c>
    </row>
    <row r="270" spans="1:10" x14ac:dyDescent="0.3">
      <c r="A270">
        <v>7</v>
      </c>
      <c r="B270" t="s">
        <v>6</v>
      </c>
      <c r="C270" s="5">
        <v>45658</v>
      </c>
      <c r="D270" s="5">
        <v>46112</v>
      </c>
      <c r="E270" t="s">
        <v>22</v>
      </c>
      <c r="F270" t="s">
        <v>32</v>
      </c>
      <c r="G270" t="s">
        <v>42</v>
      </c>
      <c r="H270">
        <v>15</v>
      </c>
      <c r="I270">
        <v>10</v>
      </c>
      <c r="J270">
        <f>IF(AND(표1_[[#This Row],[유지회차]]=표1_[[#This Row],[회차리스트]], OR(B270="해지", B270="실효", B270="만기", B270="사망")), 1, 0)</f>
        <v>0</v>
      </c>
    </row>
    <row r="271" spans="1:10" x14ac:dyDescent="0.3">
      <c r="A271">
        <v>7</v>
      </c>
      <c r="B271" t="s">
        <v>6</v>
      </c>
      <c r="C271" s="5">
        <v>45658</v>
      </c>
      <c r="D271" s="5">
        <v>46112</v>
      </c>
      <c r="E271" t="s">
        <v>22</v>
      </c>
      <c r="F271" t="s">
        <v>32</v>
      </c>
      <c r="G271" t="s">
        <v>42</v>
      </c>
      <c r="H271">
        <v>15</v>
      </c>
      <c r="I271">
        <v>11</v>
      </c>
      <c r="J271">
        <f>IF(AND(표1_[[#This Row],[유지회차]]=표1_[[#This Row],[회차리스트]], OR(B271="해지", B271="실효", B271="만기", B271="사망")), 1, 0)</f>
        <v>0</v>
      </c>
    </row>
    <row r="272" spans="1:10" x14ac:dyDescent="0.3">
      <c r="A272">
        <v>7</v>
      </c>
      <c r="B272" t="s">
        <v>6</v>
      </c>
      <c r="C272" s="5">
        <v>45658</v>
      </c>
      <c r="D272" s="5">
        <v>46112</v>
      </c>
      <c r="E272" t="s">
        <v>22</v>
      </c>
      <c r="F272" t="s">
        <v>32</v>
      </c>
      <c r="G272" t="s">
        <v>42</v>
      </c>
      <c r="H272">
        <v>15</v>
      </c>
      <c r="I272">
        <v>12</v>
      </c>
      <c r="J272">
        <f>IF(AND(표1_[[#This Row],[유지회차]]=표1_[[#This Row],[회차리스트]], OR(B272="해지", B272="실효", B272="만기", B272="사망")), 1, 0)</f>
        <v>0</v>
      </c>
    </row>
    <row r="273" spans="1:10" x14ac:dyDescent="0.3">
      <c r="A273">
        <v>7</v>
      </c>
      <c r="B273" t="s">
        <v>6</v>
      </c>
      <c r="C273" s="5">
        <v>45658</v>
      </c>
      <c r="D273" s="5">
        <v>46112</v>
      </c>
      <c r="E273" t="s">
        <v>22</v>
      </c>
      <c r="F273" t="s">
        <v>32</v>
      </c>
      <c r="G273" t="s">
        <v>42</v>
      </c>
      <c r="H273">
        <v>15</v>
      </c>
      <c r="I273">
        <v>13</v>
      </c>
      <c r="J273">
        <f>IF(AND(표1_[[#This Row],[유지회차]]=표1_[[#This Row],[회차리스트]], OR(B273="해지", B273="실효", B273="만기", B273="사망")), 1, 0)</f>
        <v>0</v>
      </c>
    </row>
    <row r="274" spans="1:10" x14ac:dyDescent="0.3">
      <c r="A274">
        <v>7</v>
      </c>
      <c r="B274" t="s">
        <v>6</v>
      </c>
      <c r="C274" s="5">
        <v>45658</v>
      </c>
      <c r="D274" s="5">
        <v>46112</v>
      </c>
      <c r="E274" t="s">
        <v>22</v>
      </c>
      <c r="F274" t="s">
        <v>32</v>
      </c>
      <c r="G274" t="s">
        <v>42</v>
      </c>
      <c r="H274">
        <v>15</v>
      </c>
      <c r="I274">
        <v>14</v>
      </c>
      <c r="J274">
        <f>IF(AND(표1_[[#This Row],[유지회차]]=표1_[[#This Row],[회차리스트]], OR(B274="해지", B274="실효", B274="만기", B274="사망")), 1, 0)</f>
        <v>0</v>
      </c>
    </row>
    <row r="275" spans="1:10" x14ac:dyDescent="0.3">
      <c r="A275">
        <v>7</v>
      </c>
      <c r="B275" t="s">
        <v>6</v>
      </c>
      <c r="C275" s="5">
        <v>45658</v>
      </c>
      <c r="D275" s="5">
        <v>46112</v>
      </c>
      <c r="E275" t="s">
        <v>22</v>
      </c>
      <c r="F275" t="s">
        <v>32</v>
      </c>
      <c r="G275" t="s">
        <v>42</v>
      </c>
      <c r="H275">
        <v>15</v>
      </c>
      <c r="I275">
        <v>15</v>
      </c>
      <c r="J275">
        <f>IF(AND(표1_[[#This Row],[유지회차]]=표1_[[#This Row],[회차리스트]], OR(B275="해지", B275="실효", B275="만기", B275="사망")), 1, 0)</f>
        <v>0</v>
      </c>
    </row>
    <row r="276" spans="1:10" x14ac:dyDescent="0.3">
      <c r="A276">
        <v>8</v>
      </c>
      <c r="B276" t="s">
        <v>6</v>
      </c>
      <c r="C276" s="5">
        <v>44625</v>
      </c>
      <c r="D276" s="5">
        <v>46112</v>
      </c>
      <c r="E276" t="s">
        <v>26</v>
      </c>
      <c r="F276" t="s">
        <v>40</v>
      </c>
      <c r="G276" t="s">
        <v>42</v>
      </c>
      <c r="H276">
        <v>49</v>
      </c>
      <c r="I276">
        <v>1</v>
      </c>
      <c r="J276">
        <f>IF(AND(표1_[[#This Row],[유지회차]]=표1_[[#This Row],[회차리스트]], OR(B276="해지", B276="실효", B276="만기", B276="사망")), 1, 0)</f>
        <v>0</v>
      </c>
    </row>
    <row r="277" spans="1:10" x14ac:dyDescent="0.3">
      <c r="A277">
        <v>8</v>
      </c>
      <c r="B277" t="s">
        <v>6</v>
      </c>
      <c r="C277" s="5">
        <v>44625</v>
      </c>
      <c r="D277" s="5">
        <v>46112</v>
      </c>
      <c r="E277" t="s">
        <v>26</v>
      </c>
      <c r="F277" t="s">
        <v>40</v>
      </c>
      <c r="G277" t="s">
        <v>42</v>
      </c>
      <c r="H277">
        <v>49</v>
      </c>
      <c r="I277">
        <v>2</v>
      </c>
      <c r="J277">
        <f>IF(AND(표1_[[#This Row],[유지회차]]=표1_[[#This Row],[회차리스트]], OR(B277="해지", B277="실효", B277="만기", B277="사망")), 1, 0)</f>
        <v>0</v>
      </c>
    </row>
    <row r="278" spans="1:10" x14ac:dyDescent="0.3">
      <c r="A278">
        <v>8</v>
      </c>
      <c r="B278" t="s">
        <v>6</v>
      </c>
      <c r="C278" s="5">
        <v>44625</v>
      </c>
      <c r="D278" s="5">
        <v>46112</v>
      </c>
      <c r="E278" t="s">
        <v>26</v>
      </c>
      <c r="F278" t="s">
        <v>40</v>
      </c>
      <c r="G278" t="s">
        <v>42</v>
      </c>
      <c r="H278">
        <v>49</v>
      </c>
      <c r="I278">
        <v>3</v>
      </c>
      <c r="J278">
        <f>IF(AND(표1_[[#This Row],[유지회차]]=표1_[[#This Row],[회차리스트]], OR(B278="해지", B278="실효", B278="만기", B278="사망")), 1, 0)</f>
        <v>0</v>
      </c>
    </row>
    <row r="279" spans="1:10" x14ac:dyDescent="0.3">
      <c r="A279">
        <v>8</v>
      </c>
      <c r="B279" t="s">
        <v>6</v>
      </c>
      <c r="C279" s="5">
        <v>44625</v>
      </c>
      <c r="D279" s="5">
        <v>46112</v>
      </c>
      <c r="E279" t="s">
        <v>26</v>
      </c>
      <c r="F279" t="s">
        <v>40</v>
      </c>
      <c r="G279" t="s">
        <v>42</v>
      </c>
      <c r="H279">
        <v>49</v>
      </c>
      <c r="I279">
        <v>4</v>
      </c>
      <c r="J279">
        <f>IF(AND(표1_[[#This Row],[유지회차]]=표1_[[#This Row],[회차리스트]], OR(B279="해지", B279="실효", B279="만기", B279="사망")), 1, 0)</f>
        <v>0</v>
      </c>
    </row>
    <row r="280" spans="1:10" x14ac:dyDescent="0.3">
      <c r="A280">
        <v>8</v>
      </c>
      <c r="B280" t="s">
        <v>6</v>
      </c>
      <c r="C280" s="5">
        <v>44625</v>
      </c>
      <c r="D280" s="5">
        <v>46112</v>
      </c>
      <c r="E280" t="s">
        <v>26</v>
      </c>
      <c r="F280" t="s">
        <v>40</v>
      </c>
      <c r="G280" t="s">
        <v>42</v>
      </c>
      <c r="H280">
        <v>49</v>
      </c>
      <c r="I280">
        <v>5</v>
      </c>
      <c r="J280">
        <f>IF(AND(표1_[[#This Row],[유지회차]]=표1_[[#This Row],[회차리스트]], OR(B280="해지", B280="실효", B280="만기", B280="사망")), 1, 0)</f>
        <v>0</v>
      </c>
    </row>
    <row r="281" spans="1:10" x14ac:dyDescent="0.3">
      <c r="A281">
        <v>8</v>
      </c>
      <c r="B281" t="s">
        <v>6</v>
      </c>
      <c r="C281" s="5">
        <v>44625</v>
      </c>
      <c r="D281" s="5">
        <v>46112</v>
      </c>
      <c r="E281" t="s">
        <v>26</v>
      </c>
      <c r="F281" t="s">
        <v>40</v>
      </c>
      <c r="G281" t="s">
        <v>42</v>
      </c>
      <c r="H281">
        <v>49</v>
      </c>
      <c r="I281">
        <v>6</v>
      </c>
      <c r="J281">
        <f>IF(AND(표1_[[#This Row],[유지회차]]=표1_[[#This Row],[회차리스트]], OR(B281="해지", B281="실효", B281="만기", B281="사망")), 1, 0)</f>
        <v>0</v>
      </c>
    </row>
    <row r="282" spans="1:10" x14ac:dyDescent="0.3">
      <c r="A282">
        <v>8</v>
      </c>
      <c r="B282" t="s">
        <v>6</v>
      </c>
      <c r="C282" s="5">
        <v>44625</v>
      </c>
      <c r="D282" s="5">
        <v>46112</v>
      </c>
      <c r="E282" t="s">
        <v>26</v>
      </c>
      <c r="F282" t="s">
        <v>40</v>
      </c>
      <c r="G282" t="s">
        <v>42</v>
      </c>
      <c r="H282">
        <v>49</v>
      </c>
      <c r="I282">
        <v>7</v>
      </c>
      <c r="J282">
        <f>IF(AND(표1_[[#This Row],[유지회차]]=표1_[[#This Row],[회차리스트]], OR(B282="해지", B282="실효", B282="만기", B282="사망")), 1, 0)</f>
        <v>0</v>
      </c>
    </row>
    <row r="283" spans="1:10" x14ac:dyDescent="0.3">
      <c r="A283">
        <v>8</v>
      </c>
      <c r="B283" t="s">
        <v>6</v>
      </c>
      <c r="C283" s="5">
        <v>44625</v>
      </c>
      <c r="D283" s="5">
        <v>46112</v>
      </c>
      <c r="E283" t="s">
        <v>26</v>
      </c>
      <c r="F283" t="s">
        <v>40</v>
      </c>
      <c r="G283" t="s">
        <v>42</v>
      </c>
      <c r="H283">
        <v>49</v>
      </c>
      <c r="I283">
        <v>8</v>
      </c>
      <c r="J283">
        <f>IF(AND(표1_[[#This Row],[유지회차]]=표1_[[#This Row],[회차리스트]], OR(B283="해지", B283="실효", B283="만기", B283="사망")), 1, 0)</f>
        <v>0</v>
      </c>
    </row>
    <row r="284" spans="1:10" x14ac:dyDescent="0.3">
      <c r="A284">
        <v>8</v>
      </c>
      <c r="B284" t="s">
        <v>6</v>
      </c>
      <c r="C284" s="5">
        <v>44625</v>
      </c>
      <c r="D284" s="5">
        <v>46112</v>
      </c>
      <c r="E284" t="s">
        <v>26</v>
      </c>
      <c r="F284" t="s">
        <v>40</v>
      </c>
      <c r="G284" t="s">
        <v>42</v>
      </c>
      <c r="H284">
        <v>49</v>
      </c>
      <c r="I284">
        <v>9</v>
      </c>
      <c r="J284">
        <f>IF(AND(표1_[[#This Row],[유지회차]]=표1_[[#This Row],[회차리스트]], OR(B284="해지", B284="실효", B284="만기", B284="사망")), 1, 0)</f>
        <v>0</v>
      </c>
    </row>
    <row r="285" spans="1:10" x14ac:dyDescent="0.3">
      <c r="A285">
        <v>8</v>
      </c>
      <c r="B285" t="s">
        <v>6</v>
      </c>
      <c r="C285" s="5">
        <v>44625</v>
      </c>
      <c r="D285" s="5">
        <v>46112</v>
      </c>
      <c r="E285" t="s">
        <v>26</v>
      </c>
      <c r="F285" t="s">
        <v>40</v>
      </c>
      <c r="G285" t="s">
        <v>42</v>
      </c>
      <c r="H285">
        <v>49</v>
      </c>
      <c r="I285">
        <v>10</v>
      </c>
      <c r="J285">
        <f>IF(AND(표1_[[#This Row],[유지회차]]=표1_[[#This Row],[회차리스트]], OR(B285="해지", B285="실효", B285="만기", B285="사망")), 1, 0)</f>
        <v>0</v>
      </c>
    </row>
    <row r="286" spans="1:10" x14ac:dyDescent="0.3">
      <c r="A286">
        <v>8</v>
      </c>
      <c r="B286" t="s">
        <v>6</v>
      </c>
      <c r="C286" s="5">
        <v>44625</v>
      </c>
      <c r="D286" s="5">
        <v>46112</v>
      </c>
      <c r="E286" t="s">
        <v>26</v>
      </c>
      <c r="F286" t="s">
        <v>40</v>
      </c>
      <c r="G286" t="s">
        <v>42</v>
      </c>
      <c r="H286">
        <v>49</v>
      </c>
      <c r="I286">
        <v>11</v>
      </c>
      <c r="J286">
        <f>IF(AND(표1_[[#This Row],[유지회차]]=표1_[[#This Row],[회차리스트]], OR(B286="해지", B286="실효", B286="만기", B286="사망")), 1, 0)</f>
        <v>0</v>
      </c>
    </row>
    <row r="287" spans="1:10" x14ac:dyDescent="0.3">
      <c r="A287">
        <v>8</v>
      </c>
      <c r="B287" t="s">
        <v>6</v>
      </c>
      <c r="C287" s="5">
        <v>44625</v>
      </c>
      <c r="D287" s="5">
        <v>46112</v>
      </c>
      <c r="E287" t="s">
        <v>26</v>
      </c>
      <c r="F287" t="s">
        <v>40</v>
      </c>
      <c r="G287" t="s">
        <v>42</v>
      </c>
      <c r="H287">
        <v>49</v>
      </c>
      <c r="I287">
        <v>12</v>
      </c>
      <c r="J287">
        <f>IF(AND(표1_[[#This Row],[유지회차]]=표1_[[#This Row],[회차리스트]], OR(B287="해지", B287="실효", B287="만기", B287="사망")), 1, 0)</f>
        <v>0</v>
      </c>
    </row>
    <row r="288" spans="1:10" x14ac:dyDescent="0.3">
      <c r="A288">
        <v>8</v>
      </c>
      <c r="B288" t="s">
        <v>6</v>
      </c>
      <c r="C288" s="5">
        <v>44625</v>
      </c>
      <c r="D288" s="5">
        <v>46112</v>
      </c>
      <c r="E288" t="s">
        <v>26</v>
      </c>
      <c r="F288" t="s">
        <v>40</v>
      </c>
      <c r="G288" t="s">
        <v>42</v>
      </c>
      <c r="H288">
        <v>49</v>
      </c>
      <c r="I288">
        <v>13</v>
      </c>
      <c r="J288">
        <f>IF(AND(표1_[[#This Row],[유지회차]]=표1_[[#This Row],[회차리스트]], OR(B288="해지", B288="실효", B288="만기", B288="사망")), 1, 0)</f>
        <v>0</v>
      </c>
    </row>
    <row r="289" spans="1:10" x14ac:dyDescent="0.3">
      <c r="A289">
        <v>8</v>
      </c>
      <c r="B289" t="s">
        <v>6</v>
      </c>
      <c r="C289" s="5">
        <v>44625</v>
      </c>
      <c r="D289" s="5">
        <v>46112</v>
      </c>
      <c r="E289" t="s">
        <v>26</v>
      </c>
      <c r="F289" t="s">
        <v>40</v>
      </c>
      <c r="G289" t="s">
        <v>42</v>
      </c>
      <c r="H289">
        <v>49</v>
      </c>
      <c r="I289">
        <v>14</v>
      </c>
      <c r="J289">
        <f>IF(AND(표1_[[#This Row],[유지회차]]=표1_[[#This Row],[회차리스트]], OR(B289="해지", B289="실효", B289="만기", B289="사망")), 1, 0)</f>
        <v>0</v>
      </c>
    </row>
    <row r="290" spans="1:10" x14ac:dyDescent="0.3">
      <c r="A290">
        <v>8</v>
      </c>
      <c r="B290" t="s">
        <v>6</v>
      </c>
      <c r="C290" s="5">
        <v>44625</v>
      </c>
      <c r="D290" s="5">
        <v>46112</v>
      </c>
      <c r="E290" t="s">
        <v>26</v>
      </c>
      <c r="F290" t="s">
        <v>40</v>
      </c>
      <c r="G290" t="s">
        <v>42</v>
      </c>
      <c r="H290">
        <v>49</v>
      </c>
      <c r="I290">
        <v>15</v>
      </c>
      <c r="J290">
        <f>IF(AND(표1_[[#This Row],[유지회차]]=표1_[[#This Row],[회차리스트]], OR(B290="해지", B290="실효", B290="만기", B290="사망")), 1, 0)</f>
        <v>0</v>
      </c>
    </row>
    <row r="291" spans="1:10" x14ac:dyDescent="0.3">
      <c r="A291">
        <v>8</v>
      </c>
      <c r="B291" t="s">
        <v>6</v>
      </c>
      <c r="C291" s="5">
        <v>44625</v>
      </c>
      <c r="D291" s="5">
        <v>46112</v>
      </c>
      <c r="E291" t="s">
        <v>26</v>
      </c>
      <c r="F291" t="s">
        <v>40</v>
      </c>
      <c r="G291" t="s">
        <v>42</v>
      </c>
      <c r="H291">
        <v>49</v>
      </c>
      <c r="I291">
        <v>16</v>
      </c>
      <c r="J291">
        <f>IF(AND(표1_[[#This Row],[유지회차]]=표1_[[#This Row],[회차리스트]], OR(B291="해지", B291="실효", B291="만기", B291="사망")), 1, 0)</f>
        <v>0</v>
      </c>
    </row>
    <row r="292" spans="1:10" x14ac:dyDescent="0.3">
      <c r="A292">
        <v>8</v>
      </c>
      <c r="B292" t="s">
        <v>6</v>
      </c>
      <c r="C292" s="5">
        <v>44625</v>
      </c>
      <c r="D292" s="5">
        <v>46112</v>
      </c>
      <c r="E292" t="s">
        <v>26</v>
      </c>
      <c r="F292" t="s">
        <v>40</v>
      </c>
      <c r="G292" t="s">
        <v>42</v>
      </c>
      <c r="H292">
        <v>49</v>
      </c>
      <c r="I292">
        <v>17</v>
      </c>
      <c r="J292">
        <f>IF(AND(표1_[[#This Row],[유지회차]]=표1_[[#This Row],[회차리스트]], OR(B292="해지", B292="실효", B292="만기", B292="사망")), 1, 0)</f>
        <v>0</v>
      </c>
    </row>
    <row r="293" spans="1:10" x14ac:dyDescent="0.3">
      <c r="A293">
        <v>8</v>
      </c>
      <c r="B293" t="s">
        <v>6</v>
      </c>
      <c r="C293" s="5">
        <v>44625</v>
      </c>
      <c r="D293" s="5">
        <v>46112</v>
      </c>
      <c r="E293" t="s">
        <v>26</v>
      </c>
      <c r="F293" t="s">
        <v>40</v>
      </c>
      <c r="G293" t="s">
        <v>42</v>
      </c>
      <c r="H293">
        <v>49</v>
      </c>
      <c r="I293">
        <v>18</v>
      </c>
      <c r="J293">
        <f>IF(AND(표1_[[#This Row],[유지회차]]=표1_[[#This Row],[회차리스트]], OR(B293="해지", B293="실효", B293="만기", B293="사망")), 1, 0)</f>
        <v>0</v>
      </c>
    </row>
    <row r="294" spans="1:10" x14ac:dyDescent="0.3">
      <c r="A294">
        <v>8</v>
      </c>
      <c r="B294" t="s">
        <v>6</v>
      </c>
      <c r="C294" s="5">
        <v>44625</v>
      </c>
      <c r="D294" s="5">
        <v>46112</v>
      </c>
      <c r="E294" t="s">
        <v>26</v>
      </c>
      <c r="F294" t="s">
        <v>40</v>
      </c>
      <c r="G294" t="s">
        <v>42</v>
      </c>
      <c r="H294">
        <v>49</v>
      </c>
      <c r="I294">
        <v>19</v>
      </c>
      <c r="J294">
        <f>IF(AND(표1_[[#This Row],[유지회차]]=표1_[[#This Row],[회차리스트]], OR(B294="해지", B294="실효", B294="만기", B294="사망")), 1, 0)</f>
        <v>0</v>
      </c>
    </row>
    <row r="295" spans="1:10" x14ac:dyDescent="0.3">
      <c r="A295">
        <v>8</v>
      </c>
      <c r="B295" t="s">
        <v>6</v>
      </c>
      <c r="C295" s="5">
        <v>44625</v>
      </c>
      <c r="D295" s="5">
        <v>46112</v>
      </c>
      <c r="E295" t="s">
        <v>26</v>
      </c>
      <c r="F295" t="s">
        <v>40</v>
      </c>
      <c r="G295" t="s">
        <v>42</v>
      </c>
      <c r="H295">
        <v>49</v>
      </c>
      <c r="I295">
        <v>20</v>
      </c>
      <c r="J295">
        <f>IF(AND(표1_[[#This Row],[유지회차]]=표1_[[#This Row],[회차리스트]], OR(B295="해지", B295="실효", B295="만기", B295="사망")), 1, 0)</f>
        <v>0</v>
      </c>
    </row>
    <row r="296" spans="1:10" x14ac:dyDescent="0.3">
      <c r="A296">
        <v>8</v>
      </c>
      <c r="B296" t="s">
        <v>6</v>
      </c>
      <c r="C296" s="5">
        <v>44625</v>
      </c>
      <c r="D296" s="5">
        <v>46112</v>
      </c>
      <c r="E296" t="s">
        <v>26</v>
      </c>
      <c r="F296" t="s">
        <v>40</v>
      </c>
      <c r="G296" t="s">
        <v>42</v>
      </c>
      <c r="H296">
        <v>49</v>
      </c>
      <c r="I296">
        <v>21</v>
      </c>
      <c r="J296">
        <f>IF(AND(표1_[[#This Row],[유지회차]]=표1_[[#This Row],[회차리스트]], OR(B296="해지", B296="실효", B296="만기", B296="사망")), 1, 0)</f>
        <v>0</v>
      </c>
    </row>
    <row r="297" spans="1:10" x14ac:dyDescent="0.3">
      <c r="A297">
        <v>8</v>
      </c>
      <c r="B297" t="s">
        <v>6</v>
      </c>
      <c r="C297" s="5">
        <v>44625</v>
      </c>
      <c r="D297" s="5">
        <v>46112</v>
      </c>
      <c r="E297" t="s">
        <v>26</v>
      </c>
      <c r="F297" t="s">
        <v>40</v>
      </c>
      <c r="G297" t="s">
        <v>42</v>
      </c>
      <c r="H297">
        <v>49</v>
      </c>
      <c r="I297">
        <v>22</v>
      </c>
      <c r="J297">
        <f>IF(AND(표1_[[#This Row],[유지회차]]=표1_[[#This Row],[회차리스트]], OR(B297="해지", B297="실효", B297="만기", B297="사망")), 1, 0)</f>
        <v>0</v>
      </c>
    </row>
    <row r="298" spans="1:10" x14ac:dyDescent="0.3">
      <c r="A298">
        <v>8</v>
      </c>
      <c r="B298" t="s">
        <v>6</v>
      </c>
      <c r="C298" s="5">
        <v>44625</v>
      </c>
      <c r="D298" s="5">
        <v>46112</v>
      </c>
      <c r="E298" t="s">
        <v>26</v>
      </c>
      <c r="F298" t="s">
        <v>40</v>
      </c>
      <c r="G298" t="s">
        <v>42</v>
      </c>
      <c r="H298">
        <v>49</v>
      </c>
      <c r="I298">
        <v>23</v>
      </c>
      <c r="J298">
        <f>IF(AND(표1_[[#This Row],[유지회차]]=표1_[[#This Row],[회차리스트]], OR(B298="해지", B298="실효", B298="만기", B298="사망")), 1, 0)</f>
        <v>0</v>
      </c>
    </row>
    <row r="299" spans="1:10" x14ac:dyDescent="0.3">
      <c r="A299">
        <v>8</v>
      </c>
      <c r="B299" t="s">
        <v>6</v>
      </c>
      <c r="C299" s="5">
        <v>44625</v>
      </c>
      <c r="D299" s="5">
        <v>46112</v>
      </c>
      <c r="E299" t="s">
        <v>26</v>
      </c>
      <c r="F299" t="s">
        <v>40</v>
      </c>
      <c r="G299" t="s">
        <v>42</v>
      </c>
      <c r="H299">
        <v>49</v>
      </c>
      <c r="I299">
        <v>24</v>
      </c>
      <c r="J299">
        <f>IF(AND(표1_[[#This Row],[유지회차]]=표1_[[#This Row],[회차리스트]], OR(B299="해지", B299="실효", B299="만기", B299="사망")), 1, 0)</f>
        <v>0</v>
      </c>
    </row>
    <row r="300" spans="1:10" x14ac:dyDescent="0.3">
      <c r="A300">
        <v>8</v>
      </c>
      <c r="B300" t="s">
        <v>6</v>
      </c>
      <c r="C300" s="5">
        <v>44625</v>
      </c>
      <c r="D300" s="5">
        <v>46112</v>
      </c>
      <c r="E300" t="s">
        <v>26</v>
      </c>
      <c r="F300" t="s">
        <v>40</v>
      </c>
      <c r="G300" t="s">
        <v>42</v>
      </c>
      <c r="H300">
        <v>49</v>
      </c>
      <c r="I300">
        <v>25</v>
      </c>
      <c r="J300">
        <f>IF(AND(표1_[[#This Row],[유지회차]]=표1_[[#This Row],[회차리스트]], OR(B300="해지", B300="실효", B300="만기", B300="사망")), 1, 0)</f>
        <v>0</v>
      </c>
    </row>
    <row r="301" spans="1:10" x14ac:dyDescent="0.3">
      <c r="A301">
        <v>8</v>
      </c>
      <c r="B301" t="s">
        <v>6</v>
      </c>
      <c r="C301" s="5">
        <v>44625</v>
      </c>
      <c r="D301" s="5">
        <v>46112</v>
      </c>
      <c r="E301" t="s">
        <v>26</v>
      </c>
      <c r="F301" t="s">
        <v>40</v>
      </c>
      <c r="G301" t="s">
        <v>42</v>
      </c>
      <c r="H301">
        <v>49</v>
      </c>
      <c r="I301">
        <v>26</v>
      </c>
      <c r="J301">
        <f>IF(AND(표1_[[#This Row],[유지회차]]=표1_[[#This Row],[회차리스트]], OR(B301="해지", B301="실효", B301="만기", B301="사망")), 1, 0)</f>
        <v>0</v>
      </c>
    </row>
    <row r="302" spans="1:10" x14ac:dyDescent="0.3">
      <c r="A302">
        <v>8</v>
      </c>
      <c r="B302" t="s">
        <v>6</v>
      </c>
      <c r="C302" s="5">
        <v>44625</v>
      </c>
      <c r="D302" s="5">
        <v>46112</v>
      </c>
      <c r="E302" t="s">
        <v>26</v>
      </c>
      <c r="F302" t="s">
        <v>40</v>
      </c>
      <c r="G302" t="s">
        <v>42</v>
      </c>
      <c r="H302">
        <v>49</v>
      </c>
      <c r="I302">
        <v>27</v>
      </c>
      <c r="J302">
        <f>IF(AND(표1_[[#This Row],[유지회차]]=표1_[[#This Row],[회차리스트]], OR(B302="해지", B302="실효", B302="만기", B302="사망")), 1, 0)</f>
        <v>0</v>
      </c>
    </row>
    <row r="303" spans="1:10" x14ac:dyDescent="0.3">
      <c r="A303">
        <v>8</v>
      </c>
      <c r="B303" t="s">
        <v>6</v>
      </c>
      <c r="C303" s="5">
        <v>44625</v>
      </c>
      <c r="D303" s="5">
        <v>46112</v>
      </c>
      <c r="E303" t="s">
        <v>26</v>
      </c>
      <c r="F303" t="s">
        <v>40</v>
      </c>
      <c r="G303" t="s">
        <v>42</v>
      </c>
      <c r="H303">
        <v>49</v>
      </c>
      <c r="I303">
        <v>28</v>
      </c>
      <c r="J303">
        <f>IF(AND(표1_[[#This Row],[유지회차]]=표1_[[#This Row],[회차리스트]], OR(B303="해지", B303="실효", B303="만기", B303="사망")), 1, 0)</f>
        <v>0</v>
      </c>
    </row>
    <row r="304" spans="1:10" x14ac:dyDescent="0.3">
      <c r="A304">
        <v>8</v>
      </c>
      <c r="B304" t="s">
        <v>6</v>
      </c>
      <c r="C304" s="5">
        <v>44625</v>
      </c>
      <c r="D304" s="5">
        <v>46112</v>
      </c>
      <c r="E304" t="s">
        <v>26</v>
      </c>
      <c r="F304" t="s">
        <v>40</v>
      </c>
      <c r="G304" t="s">
        <v>42</v>
      </c>
      <c r="H304">
        <v>49</v>
      </c>
      <c r="I304">
        <v>29</v>
      </c>
      <c r="J304">
        <f>IF(AND(표1_[[#This Row],[유지회차]]=표1_[[#This Row],[회차리스트]], OR(B304="해지", B304="실효", B304="만기", B304="사망")), 1, 0)</f>
        <v>0</v>
      </c>
    </row>
    <row r="305" spans="1:10" x14ac:dyDescent="0.3">
      <c r="A305">
        <v>8</v>
      </c>
      <c r="B305" t="s">
        <v>6</v>
      </c>
      <c r="C305" s="5">
        <v>44625</v>
      </c>
      <c r="D305" s="5">
        <v>46112</v>
      </c>
      <c r="E305" t="s">
        <v>26</v>
      </c>
      <c r="F305" t="s">
        <v>40</v>
      </c>
      <c r="G305" t="s">
        <v>42</v>
      </c>
      <c r="H305">
        <v>49</v>
      </c>
      <c r="I305">
        <v>30</v>
      </c>
      <c r="J305">
        <f>IF(AND(표1_[[#This Row],[유지회차]]=표1_[[#This Row],[회차리스트]], OR(B305="해지", B305="실효", B305="만기", B305="사망")), 1, 0)</f>
        <v>0</v>
      </c>
    </row>
    <row r="306" spans="1:10" x14ac:dyDescent="0.3">
      <c r="A306">
        <v>8</v>
      </c>
      <c r="B306" t="s">
        <v>6</v>
      </c>
      <c r="C306" s="5">
        <v>44625</v>
      </c>
      <c r="D306" s="5">
        <v>46112</v>
      </c>
      <c r="E306" t="s">
        <v>26</v>
      </c>
      <c r="F306" t="s">
        <v>40</v>
      </c>
      <c r="G306" t="s">
        <v>42</v>
      </c>
      <c r="H306">
        <v>49</v>
      </c>
      <c r="I306">
        <v>31</v>
      </c>
      <c r="J306">
        <f>IF(AND(표1_[[#This Row],[유지회차]]=표1_[[#This Row],[회차리스트]], OR(B306="해지", B306="실효", B306="만기", B306="사망")), 1, 0)</f>
        <v>0</v>
      </c>
    </row>
    <row r="307" spans="1:10" x14ac:dyDescent="0.3">
      <c r="A307">
        <v>8</v>
      </c>
      <c r="B307" t="s">
        <v>6</v>
      </c>
      <c r="C307" s="5">
        <v>44625</v>
      </c>
      <c r="D307" s="5">
        <v>46112</v>
      </c>
      <c r="E307" t="s">
        <v>26</v>
      </c>
      <c r="F307" t="s">
        <v>40</v>
      </c>
      <c r="G307" t="s">
        <v>42</v>
      </c>
      <c r="H307">
        <v>49</v>
      </c>
      <c r="I307">
        <v>32</v>
      </c>
      <c r="J307">
        <f>IF(AND(표1_[[#This Row],[유지회차]]=표1_[[#This Row],[회차리스트]], OR(B307="해지", B307="실효", B307="만기", B307="사망")), 1, 0)</f>
        <v>0</v>
      </c>
    </row>
    <row r="308" spans="1:10" x14ac:dyDescent="0.3">
      <c r="A308">
        <v>8</v>
      </c>
      <c r="B308" t="s">
        <v>6</v>
      </c>
      <c r="C308" s="5">
        <v>44625</v>
      </c>
      <c r="D308" s="5">
        <v>46112</v>
      </c>
      <c r="E308" t="s">
        <v>26</v>
      </c>
      <c r="F308" t="s">
        <v>40</v>
      </c>
      <c r="G308" t="s">
        <v>42</v>
      </c>
      <c r="H308">
        <v>49</v>
      </c>
      <c r="I308">
        <v>33</v>
      </c>
      <c r="J308">
        <f>IF(AND(표1_[[#This Row],[유지회차]]=표1_[[#This Row],[회차리스트]], OR(B308="해지", B308="실효", B308="만기", B308="사망")), 1, 0)</f>
        <v>0</v>
      </c>
    </row>
    <row r="309" spans="1:10" x14ac:dyDescent="0.3">
      <c r="A309">
        <v>8</v>
      </c>
      <c r="B309" t="s">
        <v>6</v>
      </c>
      <c r="C309" s="5">
        <v>44625</v>
      </c>
      <c r="D309" s="5">
        <v>46112</v>
      </c>
      <c r="E309" t="s">
        <v>26</v>
      </c>
      <c r="F309" t="s">
        <v>40</v>
      </c>
      <c r="G309" t="s">
        <v>42</v>
      </c>
      <c r="H309">
        <v>49</v>
      </c>
      <c r="I309">
        <v>34</v>
      </c>
      <c r="J309">
        <f>IF(AND(표1_[[#This Row],[유지회차]]=표1_[[#This Row],[회차리스트]], OR(B309="해지", B309="실효", B309="만기", B309="사망")), 1, 0)</f>
        <v>0</v>
      </c>
    </row>
    <row r="310" spans="1:10" x14ac:dyDescent="0.3">
      <c r="A310">
        <v>8</v>
      </c>
      <c r="B310" t="s">
        <v>6</v>
      </c>
      <c r="C310" s="5">
        <v>44625</v>
      </c>
      <c r="D310" s="5">
        <v>46112</v>
      </c>
      <c r="E310" t="s">
        <v>26</v>
      </c>
      <c r="F310" t="s">
        <v>40</v>
      </c>
      <c r="G310" t="s">
        <v>42</v>
      </c>
      <c r="H310">
        <v>49</v>
      </c>
      <c r="I310">
        <v>35</v>
      </c>
      <c r="J310">
        <f>IF(AND(표1_[[#This Row],[유지회차]]=표1_[[#This Row],[회차리스트]], OR(B310="해지", B310="실효", B310="만기", B310="사망")), 1, 0)</f>
        <v>0</v>
      </c>
    </row>
    <row r="311" spans="1:10" x14ac:dyDescent="0.3">
      <c r="A311">
        <v>8</v>
      </c>
      <c r="B311" t="s">
        <v>6</v>
      </c>
      <c r="C311" s="5">
        <v>44625</v>
      </c>
      <c r="D311" s="5">
        <v>46112</v>
      </c>
      <c r="E311" t="s">
        <v>26</v>
      </c>
      <c r="F311" t="s">
        <v>40</v>
      </c>
      <c r="G311" t="s">
        <v>42</v>
      </c>
      <c r="H311">
        <v>49</v>
      </c>
      <c r="I311">
        <v>36</v>
      </c>
      <c r="J311">
        <f>IF(AND(표1_[[#This Row],[유지회차]]=표1_[[#This Row],[회차리스트]], OR(B311="해지", B311="실효", B311="만기", B311="사망")), 1, 0)</f>
        <v>0</v>
      </c>
    </row>
    <row r="312" spans="1:10" x14ac:dyDescent="0.3">
      <c r="A312">
        <v>8</v>
      </c>
      <c r="B312" t="s">
        <v>6</v>
      </c>
      <c r="C312" s="5">
        <v>44625</v>
      </c>
      <c r="D312" s="5">
        <v>46112</v>
      </c>
      <c r="E312" t="s">
        <v>26</v>
      </c>
      <c r="F312" t="s">
        <v>40</v>
      </c>
      <c r="G312" t="s">
        <v>42</v>
      </c>
      <c r="H312">
        <v>49</v>
      </c>
      <c r="I312">
        <v>37</v>
      </c>
      <c r="J312">
        <f>IF(AND(표1_[[#This Row],[유지회차]]=표1_[[#This Row],[회차리스트]], OR(B312="해지", B312="실효", B312="만기", B312="사망")), 1, 0)</f>
        <v>0</v>
      </c>
    </row>
    <row r="313" spans="1:10" x14ac:dyDescent="0.3">
      <c r="A313">
        <v>8</v>
      </c>
      <c r="B313" t="s">
        <v>6</v>
      </c>
      <c r="C313" s="5">
        <v>44625</v>
      </c>
      <c r="D313" s="5">
        <v>46112</v>
      </c>
      <c r="E313" t="s">
        <v>26</v>
      </c>
      <c r="F313" t="s">
        <v>40</v>
      </c>
      <c r="G313" t="s">
        <v>42</v>
      </c>
      <c r="H313">
        <v>49</v>
      </c>
      <c r="I313">
        <v>38</v>
      </c>
      <c r="J313">
        <f>IF(AND(표1_[[#This Row],[유지회차]]=표1_[[#This Row],[회차리스트]], OR(B313="해지", B313="실효", B313="만기", B313="사망")), 1, 0)</f>
        <v>0</v>
      </c>
    </row>
    <row r="314" spans="1:10" x14ac:dyDescent="0.3">
      <c r="A314">
        <v>8</v>
      </c>
      <c r="B314" t="s">
        <v>6</v>
      </c>
      <c r="C314" s="5">
        <v>44625</v>
      </c>
      <c r="D314" s="5">
        <v>46112</v>
      </c>
      <c r="E314" t="s">
        <v>26</v>
      </c>
      <c r="F314" t="s">
        <v>40</v>
      </c>
      <c r="G314" t="s">
        <v>42</v>
      </c>
      <c r="H314">
        <v>49</v>
      </c>
      <c r="I314">
        <v>39</v>
      </c>
      <c r="J314">
        <f>IF(AND(표1_[[#This Row],[유지회차]]=표1_[[#This Row],[회차리스트]], OR(B314="해지", B314="실효", B314="만기", B314="사망")), 1, 0)</f>
        <v>0</v>
      </c>
    </row>
    <row r="315" spans="1:10" x14ac:dyDescent="0.3">
      <c r="A315">
        <v>8</v>
      </c>
      <c r="B315" t="s">
        <v>6</v>
      </c>
      <c r="C315" s="5">
        <v>44625</v>
      </c>
      <c r="D315" s="5">
        <v>46112</v>
      </c>
      <c r="E315" t="s">
        <v>26</v>
      </c>
      <c r="F315" t="s">
        <v>40</v>
      </c>
      <c r="G315" t="s">
        <v>42</v>
      </c>
      <c r="H315">
        <v>49</v>
      </c>
      <c r="I315">
        <v>40</v>
      </c>
      <c r="J315">
        <f>IF(AND(표1_[[#This Row],[유지회차]]=표1_[[#This Row],[회차리스트]], OR(B315="해지", B315="실효", B315="만기", B315="사망")), 1, 0)</f>
        <v>0</v>
      </c>
    </row>
    <row r="316" spans="1:10" x14ac:dyDescent="0.3">
      <c r="A316">
        <v>8</v>
      </c>
      <c r="B316" t="s">
        <v>6</v>
      </c>
      <c r="C316" s="5">
        <v>44625</v>
      </c>
      <c r="D316" s="5">
        <v>46112</v>
      </c>
      <c r="E316" t="s">
        <v>26</v>
      </c>
      <c r="F316" t="s">
        <v>40</v>
      </c>
      <c r="G316" t="s">
        <v>42</v>
      </c>
      <c r="H316">
        <v>49</v>
      </c>
      <c r="I316">
        <v>41</v>
      </c>
      <c r="J316">
        <f>IF(AND(표1_[[#This Row],[유지회차]]=표1_[[#This Row],[회차리스트]], OR(B316="해지", B316="실효", B316="만기", B316="사망")), 1, 0)</f>
        <v>0</v>
      </c>
    </row>
    <row r="317" spans="1:10" x14ac:dyDescent="0.3">
      <c r="A317">
        <v>8</v>
      </c>
      <c r="B317" t="s">
        <v>6</v>
      </c>
      <c r="C317" s="5">
        <v>44625</v>
      </c>
      <c r="D317" s="5">
        <v>46112</v>
      </c>
      <c r="E317" t="s">
        <v>26</v>
      </c>
      <c r="F317" t="s">
        <v>40</v>
      </c>
      <c r="G317" t="s">
        <v>42</v>
      </c>
      <c r="H317">
        <v>49</v>
      </c>
      <c r="I317">
        <v>42</v>
      </c>
      <c r="J317">
        <f>IF(AND(표1_[[#This Row],[유지회차]]=표1_[[#This Row],[회차리스트]], OR(B317="해지", B317="실효", B317="만기", B317="사망")), 1, 0)</f>
        <v>0</v>
      </c>
    </row>
    <row r="318" spans="1:10" x14ac:dyDescent="0.3">
      <c r="A318">
        <v>8</v>
      </c>
      <c r="B318" t="s">
        <v>6</v>
      </c>
      <c r="C318" s="5">
        <v>44625</v>
      </c>
      <c r="D318" s="5">
        <v>46112</v>
      </c>
      <c r="E318" t="s">
        <v>26</v>
      </c>
      <c r="F318" t="s">
        <v>40</v>
      </c>
      <c r="G318" t="s">
        <v>42</v>
      </c>
      <c r="H318">
        <v>49</v>
      </c>
      <c r="I318">
        <v>43</v>
      </c>
      <c r="J318">
        <f>IF(AND(표1_[[#This Row],[유지회차]]=표1_[[#This Row],[회차리스트]], OR(B318="해지", B318="실효", B318="만기", B318="사망")), 1, 0)</f>
        <v>0</v>
      </c>
    </row>
    <row r="319" spans="1:10" x14ac:dyDescent="0.3">
      <c r="A319">
        <v>8</v>
      </c>
      <c r="B319" t="s">
        <v>6</v>
      </c>
      <c r="C319" s="5">
        <v>44625</v>
      </c>
      <c r="D319" s="5">
        <v>46112</v>
      </c>
      <c r="E319" t="s">
        <v>26</v>
      </c>
      <c r="F319" t="s">
        <v>40</v>
      </c>
      <c r="G319" t="s">
        <v>42</v>
      </c>
      <c r="H319">
        <v>49</v>
      </c>
      <c r="I319">
        <v>44</v>
      </c>
      <c r="J319">
        <f>IF(AND(표1_[[#This Row],[유지회차]]=표1_[[#This Row],[회차리스트]], OR(B319="해지", B319="실효", B319="만기", B319="사망")), 1, 0)</f>
        <v>0</v>
      </c>
    </row>
    <row r="320" spans="1:10" x14ac:dyDescent="0.3">
      <c r="A320">
        <v>8</v>
      </c>
      <c r="B320" t="s">
        <v>6</v>
      </c>
      <c r="C320" s="5">
        <v>44625</v>
      </c>
      <c r="D320" s="5">
        <v>46112</v>
      </c>
      <c r="E320" t="s">
        <v>26</v>
      </c>
      <c r="F320" t="s">
        <v>40</v>
      </c>
      <c r="G320" t="s">
        <v>42</v>
      </c>
      <c r="H320">
        <v>49</v>
      </c>
      <c r="I320">
        <v>45</v>
      </c>
      <c r="J320">
        <f>IF(AND(표1_[[#This Row],[유지회차]]=표1_[[#This Row],[회차리스트]], OR(B320="해지", B320="실효", B320="만기", B320="사망")), 1, 0)</f>
        <v>0</v>
      </c>
    </row>
    <row r="321" spans="1:10" x14ac:dyDescent="0.3">
      <c r="A321">
        <v>8</v>
      </c>
      <c r="B321" t="s">
        <v>6</v>
      </c>
      <c r="C321" s="5">
        <v>44625</v>
      </c>
      <c r="D321" s="5">
        <v>46112</v>
      </c>
      <c r="E321" t="s">
        <v>26</v>
      </c>
      <c r="F321" t="s">
        <v>40</v>
      </c>
      <c r="G321" t="s">
        <v>42</v>
      </c>
      <c r="H321">
        <v>49</v>
      </c>
      <c r="I321">
        <v>46</v>
      </c>
      <c r="J321">
        <f>IF(AND(표1_[[#This Row],[유지회차]]=표1_[[#This Row],[회차리스트]], OR(B321="해지", B321="실효", B321="만기", B321="사망")), 1, 0)</f>
        <v>0</v>
      </c>
    </row>
    <row r="322" spans="1:10" x14ac:dyDescent="0.3">
      <c r="A322">
        <v>8</v>
      </c>
      <c r="B322" t="s">
        <v>6</v>
      </c>
      <c r="C322" s="5">
        <v>44625</v>
      </c>
      <c r="D322" s="5">
        <v>46112</v>
      </c>
      <c r="E322" t="s">
        <v>26</v>
      </c>
      <c r="F322" t="s">
        <v>40</v>
      </c>
      <c r="G322" t="s">
        <v>42</v>
      </c>
      <c r="H322">
        <v>49</v>
      </c>
      <c r="I322">
        <v>47</v>
      </c>
      <c r="J322">
        <f>IF(AND(표1_[[#This Row],[유지회차]]=표1_[[#This Row],[회차리스트]], OR(B322="해지", B322="실효", B322="만기", B322="사망")), 1, 0)</f>
        <v>0</v>
      </c>
    </row>
    <row r="323" spans="1:10" x14ac:dyDescent="0.3">
      <c r="A323">
        <v>8</v>
      </c>
      <c r="B323" t="s">
        <v>6</v>
      </c>
      <c r="C323" s="5">
        <v>44625</v>
      </c>
      <c r="D323" s="5">
        <v>46112</v>
      </c>
      <c r="E323" t="s">
        <v>26</v>
      </c>
      <c r="F323" t="s">
        <v>40</v>
      </c>
      <c r="G323" t="s">
        <v>42</v>
      </c>
      <c r="H323">
        <v>49</v>
      </c>
      <c r="I323">
        <v>48</v>
      </c>
      <c r="J323">
        <f>IF(AND(표1_[[#This Row],[유지회차]]=표1_[[#This Row],[회차리스트]], OR(B323="해지", B323="실효", B323="만기", B323="사망")), 1, 0)</f>
        <v>0</v>
      </c>
    </row>
    <row r="324" spans="1:10" x14ac:dyDescent="0.3">
      <c r="A324">
        <v>8</v>
      </c>
      <c r="B324" t="s">
        <v>6</v>
      </c>
      <c r="C324" s="5">
        <v>44625</v>
      </c>
      <c r="D324" s="5">
        <v>46112</v>
      </c>
      <c r="E324" t="s">
        <v>26</v>
      </c>
      <c r="F324" t="s">
        <v>40</v>
      </c>
      <c r="G324" t="s">
        <v>42</v>
      </c>
      <c r="H324">
        <v>49</v>
      </c>
      <c r="I324">
        <v>49</v>
      </c>
      <c r="J324">
        <f>IF(AND(표1_[[#This Row],[유지회차]]=표1_[[#This Row],[회차리스트]], OR(B324="해지", B324="실효", B324="만기", B324="사망")), 1, 0)</f>
        <v>0</v>
      </c>
    </row>
    <row r="325" spans="1:10" x14ac:dyDescent="0.3">
      <c r="A325">
        <v>9</v>
      </c>
      <c r="B325" t="s">
        <v>6</v>
      </c>
      <c r="C325" s="5">
        <v>45038</v>
      </c>
      <c r="D325" s="5">
        <v>46112</v>
      </c>
      <c r="E325" t="s">
        <v>22</v>
      </c>
      <c r="F325" t="s">
        <v>32</v>
      </c>
      <c r="G325" t="s">
        <v>42</v>
      </c>
      <c r="H325">
        <v>36</v>
      </c>
      <c r="I325">
        <v>1</v>
      </c>
      <c r="J325">
        <f>IF(AND(표1_[[#This Row],[유지회차]]=표1_[[#This Row],[회차리스트]], OR(B325="해지", B325="실효", B325="만기", B325="사망")), 1, 0)</f>
        <v>0</v>
      </c>
    </row>
    <row r="326" spans="1:10" x14ac:dyDescent="0.3">
      <c r="A326">
        <v>9</v>
      </c>
      <c r="B326" t="s">
        <v>6</v>
      </c>
      <c r="C326" s="5">
        <v>45038</v>
      </c>
      <c r="D326" s="5">
        <v>46112</v>
      </c>
      <c r="E326" t="s">
        <v>22</v>
      </c>
      <c r="F326" t="s">
        <v>32</v>
      </c>
      <c r="G326" t="s">
        <v>42</v>
      </c>
      <c r="H326">
        <v>36</v>
      </c>
      <c r="I326">
        <v>2</v>
      </c>
      <c r="J326">
        <f>IF(AND(표1_[[#This Row],[유지회차]]=표1_[[#This Row],[회차리스트]], OR(B326="해지", B326="실효", B326="만기", B326="사망")), 1, 0)</f>
        <v>0</v>
      </c>
    </row>
    <row r="327" spans="1:10" x14ac:dyDescent="0.3">
      <c r="A327">
        <v>9</v>
      </c>
      <c r="B327" t="s">
        <v>6</v>
      </c>
      <c r="C327" s="5">
        <v>45038</v>
      </c>
      <c r="D327" s="5">
        <v>46112</v>
      </c>
      <c r="E327" t="s">
        <v>22</v>
      </c>
      <c r="F327" t="s">
        <v>32</v>
      </c>
      <c r="G327" t="s">
        <v>42</v>
      </c>
      <c r="H327">
        <v>36</v>
      </c>
      <c r="I327">
        <v>3</v>
      </c>
      <c r="J327">
        <f>IF(AND(표1_[[#This Row],[유지회차]]=표1_[[#This Row],[회차리스트]], OR(B327="해지", B327="실효", B327="만기", B327="사망")), 1, 0)</f>
        <v>0</v>
      </c>
    </row>
    <row r="328" spans="1:10" x14ac:dyDescent="0.3">
      <c r="A328">
        <v>9</v>
      </c>
      <c r="B328" t="s">
        <v>6</v>
      </c>
      <c r="C328" s="5">
        <v>45038</v>
      </c>
      <c r="D328" s="5">
        <v>46112</v>
      </c>
      <c r="E328" t="s">
        <v>22</v>
      </c>
      <c r="F328" t="s">
        <v>32</v>
      </c>
      <c r="G328" t="s">
        <v>42</v>
      </c>
      <c r="H328">
        <v>36</v>
      </c>
      <c r="I328">
        <v>4</v>
      </c>
      <c r="J328">
        <f>IF(AND(표1_[[#This Row],[유지회차]]=표1_[[#This Row],[회차리스트]], OR(B328="해지", B328="실효", B328="만기", B328="사망")), 1, 0)</f>
        <v>0</v>
      </c>
    </row>
    <row r="329" spans="1:10" x14ac:dyDescent="0.3">
      <c r="A329">
        <v>9</v>
      </c>
      <c r="B329" t="s">
        <v>6</v>
      </c>
      <c r="C329" s="5">
        <v>45038</v>
      </c>
      <c r="D329" s="5">
        <v>46112</v>
      </c>
      <c r="E329" t="s">
        <v>22</v>
      </c>
      <c r="F329" t="s">
        <v>32</v>
      </c>
      <c r="G329" t="s">
        <v>42</v>
      </c>
      <c r="H329">
        <v>36</v>
      </c>
      <c r="I329">
        <v>5</v>
      </c>
      <c r="J329">
        <f>IF(AND(표1_[[#This Row],[유지회차]]=표1_[[#This Row],[회차리스트]], OR(B329="해지", B329="실효", B329="만기", B329="사망")), 1, 0)</f>
        <v>0</v>
      </c>
    </row>
    <row r="330" spans="1:10" x14ac:dyDescent="0.3">
      <c r="A330">
        <v>9</v>
      </c>
      <c r="B330" t="s">
        <v>6</v>
      </c>
      <c r="C330" s="5">
        <v>45038</v>
      </c>
      <c r="D330" s="5">
        <v>46112</v>
      </c>
      <c r="E330" t="s">
        <v>22</v>
      </c>
      <c r="F330" t="s">
        <v>32</v>
      </c>
      <c r="G330" t="s">
        <v>42</v>
      </c>
      <c r="H330">
        <v>36</v>
      </c>
      <c r="I330">
        <v>6</v>
      </c>
      <c r="J330">
        <f>IF(AND(표1_[[#This Row],[유지회차]]=표1_[[#This Row],[회차리스트]], OR(B330="해지", B330="실효", B330="만기", B330="사망")), 1, 0)</f>
        <v>0</v>
      </c>
    </row>
    <row r="331" spans="1:10" x14ac:dyDescent="0.3">
      <c r="A331">
        <v>9</v>
      </c>
      <c r="B331" t="s">
        <v>6</v>
      </c>
      <c r="C331" s="5">
        <v>45038</v>
      </c>
      <c r="D331" s="5">
        <v>46112</v>
      </c>
      <c r="E331" t="s">
        <v>22</v>
      </c>
      <c r="F331" t="s">
        <v>32</v>
      </c>
      <c r="G331" t="s">
        <v>42</v>
      </c>
      <c r="H331">
        <v>36</v>
      </c>
      <c r="I331">
        <v>7</v>
      </c>
      <c r="J331">
        <f>IF(AND(표1_[[#This Row],[유지회차]]=표1_[[#This Row],[회차리스트]], OR(B331="해지", B331="실효", B331="만기", B331="사망")), 1, 0)</f>
        <v>0</v>
      </c>
    </row>
    <row r="332" spans="1:10" x14ac:dyDescent="0.3">
      <c r="A332">
        <v>9</v>
      </c>
      <c r="B332" t="s">
        <v>6</v>
      </c>
      <c r="C332" s="5">
        <v>45038</v>
      </c>
      <c r="D332" s="5">
        <v>46112</v>
      </c>
      <c r="E332" t="s">
        <v>22</v>
      </c>
      <c r="F332" t="s">
        <v>32</v>
      </c>
      <c r="G332" t="s">
        <v>42</v>
      </c>
      <c r="H332">
        <v>36</v>
      </c>
      <c r="I332">
        <v>8</v>
      </c>
      <c r="J332">
        <f>IF(AND(표1_[[#This Row],[유지회차]]=표1_[[#This Row],[회차리스트]], OR(B332="해지", B332="실효", B332="만기", B332="사망")), 1, 0)</f>
        <v>0</v>
      </c>
    </row>
    <row r="333" spans="1:10" x14ac:dyDescent="0.3">
      <c r="A333">
        <v>9</v>
      </c>
      <c r="B333" t="s">
        <v>6</v>
      </c>
      <c r="C333" s="5">
        <v>45038</v>
      </c>
      <c r="D333" s="5">
        <v>46112</v>
      </c>
      <c r="E333" t="s">
        <v>22</v>
      </c>
      <c r="F333" t="s">
        <v>32</v>
      </c>
      <c r="G333" t="s">
        <v>42</v>
      </c>
      <c r="H333">
        <v>36</v>
      </c>
      <c r="I333">
        <v>9</v>
      </c>
      <c r="J333">
        <f>IF(AND(표1_[[#This Row],[유지회차]]=표1_[[#This Row],[회차리스트]], OR(B333="해지", B333="실효", B333="만기", B333="사망")), 1, 0)</f>
        <v>0</v>
      </c>
    </row>
    <row r="334" spans="1:10" x14ac:dyDescent="0.3">
      <c r="A334">
        <v>9</v>
      </c>
      <c r="B334" t="s">
        <v>6</v>
      </c>
      <c r="C334" s="5">
        <v>45038</v>
      </c>
      <c r="D334" s="5">
        <v>46112</v>
      </c>
      <c r="E334" t="s">
        <v>22</v>
      </c>
      <c r="F334" t="s">
        <v>32</v>
      </c>
      <c r="G334" t="s">
        <v>42</v>
      </c>
      <c r="H334">
        <v>36</v>
      </c>
      <c r="I334">
        <v>10</v>
      </c>
      <c r="J334">
        <f>IF(AND(표1_[[#This Row],[유지회차]]=표1_[[#This Row],[회차리스트]], OR(B334="해지", B334="실효", B334="만기", B334="사망")), 1, 0)</f>
        <v>0</v>
      </c>
    </row>
    <row r="335" spans="1:10" x14ac:dyDescent="0.3">
      <c r="A335">
        <v>9</v>
      </c>
      <c r="B335" t="s">
        <v>6</v>
      </c>
      <c r="C335" s="5">
        <v>45038</v>
      </c>
      <c r="D335" s="5">
        <v>46112</v>
      </c>
      <c r="E335" t="s">
        <v>22</v>
      </c>
      <c r="F335" t="s">
        <v>32</v>
      </c>
      <c r="G335" t="s">
        <v>42</v>
      </c>
      <c r="H335">
        <v>36</v>
      </c>
      <c r="I335">
        <v>11</v>
      </c>
      <c r="J335">
        <f>IF(AND(표1_[[#This Row],[유지회차]]=표1_[[#This Row],[회차리스트]], OR(B335="해지", B335="실효", B335="만기", B335="사망")), 1, 0)</f>
        <v>0</v>
      </c>
    </row>
    <row r="336" spans="1:10" x14ac:dyDescent="0.3">
      <c r="A336">
        <v>9</v>
      </c>
      <c r="B336" t="s">
        <v>6</v>
      </c>
      <c r="C336" s="5">
        <v>45038</v>
      </c>
      <c r="D336" s="5">
        <v>46112</v>
      </c>
      <c r="E336" t="s">
        <v>22</v>
      </c>
      <c r="F336" t="s">
        <v>32</v>
      </c>
      <c r="G336" t="s">
        <v>42</v>
      </c>
      <c r="H336">
        <v>36</v>
      </c>
      <c r="I336">
        <v>12</v>
      </c>
      <c r="J336">
        <f>IF(AND(표1_[[#This Row],[유지회차]]=표1_[[#This Row],[회차리스트]], OR(B336="해지", B336="실효", B336="만기", B336="사망")), 1, 0)</f>
        <v>0</v>
      </c>
    </row>
    <row r="337" spans="1:10" x14ac:dyDescent="0.3">
      <c r="A337">
        <v>9</v>
      </c>
      <c r="B337" t="s">
        <v>6</v>
      </c>
      <c r="C337" s="5">
        <v>45038</v>
      </c>
      <c r="D337" s="5">
        <v>46112</v>
      </c>
      <c r="E337" t="s">
        <v>22</v>
      </c>
      <c r="F337" t="s">
        <v>32</v>
      </c>
      <c r="G337" t="s">
        <v>42</v>
      </c>
      <c r="H337">
        <v>36</v>
      </c>
      <c r="I337">
        <v>13</v>
      </c>
      <c r="J337">
        <f>IF(AND(표1_[[#This Row],[유지회차]]=표1_[[#This Row],[회차리스트]], OR(B337="해지", B337="실효", B337="만기", B337="사망")), 1, 0)</f>
        <v>0</v>
      </c>
    </row>
    <row r="338" spans="1:10" x14ac:dyDescent="0.3">
      <c r="A338">
        <v>9</v>
      </c>
      <c r="B338" t="s">
        <v>6</v>
      </c>
      <c r="C338" s="5">
        <v>45038</v>
      </c>
      <c r="D338" s="5">
        <v>46112</v>
      </c>
      <c r="E338" t="s">
        <v>22</v>
      </c>
      <c r="F338" t="s">
        <v>32</v>
      </c>
      <c r="G338" t="s">
        <v>42</v>
      </c>
      <c r="H338">
        <v>36</v>
      </c>
      <c r="I338">
        <v>14</v>
      </c>
      <c r="J338">
        <f>IF(AND(표1_[[#This Row],[유지회차]]=표1_[[#This Row],[회차리스트]], OR(B338="해지", B338="실효", B338="만기", B338="사망")), 1, 0)</f>
        <v>0</v>
      </c>
    </row>
    <row r="339" spans="1:10" x14ac:dyDescent="0.3">
      <c r="A339">
        <v>9</v>
      </c>
      <c r="B339" t="s">
        <v>6</v>
      </c>
      <c r="C339" s="5">
        <v>45038</v>
      </c>
      <c r="D339" s="5">
        <v>46112</v>
      </c>
      <c r="E339" t="s">
        <v>22</v>
      </c>
      <c r="F339" t="s">
        <v>32</v>
      </c>
      <c r="G339" t="s">
        <v>42</v>
      </c>
      <c r="H339">
        <v>36</v>
      </c>
      <c r="I339">
        <v>15</v>
      </c>
      <c r="J339">
        <f>IF(AND(표1_[[#This Row],[유지회차]]=표1_[[#This Row],[회차리스트]], OR(B339="해지", B339="실효", B339="만기", B339="사망")), 1, 0)</f>
        <v>0</v>
      </c>
    </row>
    <row r="340" spans="1:10" x14ac:dyDescent="0.3">
      <c r="A340">
        <v>9</v>
      </c>
      <c r="B340" t="s">
        <v>6</v>
      </c>
      <c r="C340" s="5">
        <v>45038</v>
      </c>
      <c r="D340" s="5">
        <v>46112</v>
      </c>
      <c r="E340" t="s">
        <v>22</v>
      </c>
      <c r="F340" t="s">
        <v>32</v>
      </c>
      <c r="G340" t="s">
        <v>42</v>
      </c>
      <c r="H340">
        <v>36</v>
      </c>
      <c r="I340">
        <v>16</v>
      </c>
      <c r="J340">
        <f>IF(AND(표1_[[#This Row],[유지회차]]=표1_[[#This Row],[회차리스트]], OR(B340="해지", B340="실효", B340="만기", B340="사망")), 1, 0)</f>
        <v>0</v>
      </c>
    </row>
    <row r="341" spans="1:10" x14ac:dyDescent="0.3">
      <c r="A341">
        <v>9</v>
      </c>
      <c r="B341" t="s">
        <v>6</v>
      </c>
      <c r="C341" s="5">
        <v>45038</v>
      </c>
      <c r="D341" s="5">
        <v>46112</v>
      </c>
      <c r="E341" t="s">
        <v>22</v>
      </c>
      <c r="F341" t="s">
        <v>32</v>
      </c>
      <c r="G341" t="s">
        <v>42</v>
      </c>
      <c r="H341">
        <v>36</v>
      </c>
      <c r="I341">
        <v>17</v>
      </c>
      <c r="J341">
        <f>IF(AND(표1_[[#This Row],[유지회차]]=표1_[[#This Row],[회차리스트]], OR(B341="해지", B341="실효", B341="만기", B341="사망")), 1, 0)</f>
        <v>0</v>
      </c>
    </row>
    <row r="342" spans="1:10" x14ac:dyDescent="0.3">
      <c r="A342">
        <v>9</v>
      </c>
      <c r="B342" t="s">
        <v>6</v>
      </c>
      <c r="C342" s="5">
        <v>45038</v>
      </c>
      <c r="D342" s="5">
        <v>46112</v>
      </c>
      <c r="E342" t="s">
        <v>22</v>
      </c>
      <c r="F342" t="s">
        <v>32</v>
      </c>
      <c r="G342" t="s">
        <v>42</v>
      </c>
      <c r="H342">
        <v>36</v>
      </c>
      <c r="I342">
        <v>18</v>
      </c>
      <c r="J342">
        <f>IF(AND(표1_[[#This Row],[유지회차]]=표1_[[#This Row],[회차리스트]], OR(B342="해지", B342="실효", B342="만기", B342="사망")), 1, 0)</f>
        <v>0</v>
      </c>
    </row>
    <row r="343" spans="1:10" x14ac:dyDescent="0.3">
      <c r="A343">
        <v>9</v>
      </c>
      <c r="B343" t="s">
        <v>6</v>
      </c>
      <c r="C343" s="5">
        <v>45038</v>
      </c>
      <c r="D343" s="5">
        <v>46112</v>
      </c>
      <c r="E343" t="s">
        <v>22</v>
      </c>
      <c r="F343" t="s">
        <v>32</v>
      </c>
      <c r="G343" t="s">
        <v>42</v>
      </c>
      <c r="H343">
        <v>36</v>
      </c>
      <c r="I343">
        <v>19</v>
      </c>
      <c r="J343">
        <f>IF(AND(표1_[[#This Row],[유지회차]]=표1_[[#This Row],[회차리스트]], OR(B343="해지", B343="실효", B343="만기", B343="사망")), 1, 0)</f>
        <v>0</v>
      </c>
    </row>
    <row r="344" spans="1:10" x14ac:dyDescent="0.3">
      <c r="A344">
        <v>9</v>
      </c>
      <c r="B344" t="s">
        <v>6</v>
      </c>
      <c r="C344" s="5">
        <v>45038</v>
      </c>
      <c r="D344" s="5">
        <v>46112</v>
      </c>
      <c r="E344" t="s">
        <v>22</v>
      </c>
      <c r="F344" t="s">
        <v>32</v>
      </c>
      <c r="G344" t="s">
        <v>42</v>
      </c>
      <c r="H344">
        <v>36</v>
      </c>
      <c r="I344">
        <v>20</v>
      </c>
      <c r="J344">
        <f>IF(AND(표1_[[#This Row],[유지회차]]=표1_[[#This Row],[회차리스트]], OR(B344="해지", B344="실효", B344="만기", B344="사망")), 1, 0)</f>
        <v>0</v>
      </c>
    </row>
    <row r="345" spans="1:10" x14ac:dyDescent="0.3">
      <c r="A345">
        <v>9</v>
      </c>
      <c r="B345" t="s">
        <v>6</v>
      </c>
      <c r="C345" s="5">
        <v>45038</v>
      </c>
      <c r="D345" s="5">
        <v>46112</v>
      </c>
      <c r="E345" t="s">
        <v>22</v>
      </c>
      <c r="F345" t="s">
        <v>32</v>
      </c>
      <c r="G345" t="s">
        <v>42</v>
      </c>
      <c r="H345">
        <v>36</v>
      </c>
      <c r="I345">
        <v>21</v>
      </c>
      <c r="J345">
        <f>IF(AND(표1_[[#This Row],[유지회차]]=표1_[[#This Row],[회차리스트]], OR(B345="해지", B345="실효", B345="만기", B345="사망")), 1, 0)</f>
        <v>0</v>
      </c>
    </row>
    <row r="346" spans="1:10" x14ac:dyDescent="0.3">
      <c r="A346">
        <v>9</v>
      </c>
      <c r="B346" t="s">
        <v>6</v>
      </c>
      <c r="C346" s="5">
        <v>45038</v>
      </c>
      <c r="D346" s="5">
        <v>46112</v>
      </c>
      <c r="E346" t="s">
        <v>22</v>
      </c>
      <c r="F346" t="s">
        <v>32</v>
      </c>
      <c r="G346" t="s">
        <v>42</v>
      </c>
      <c r="H346">
        <v>36</v>
      </c>
      <c r="I346">
        <v>22</v>
      </c>
      <c r="J346">
        <f>IF(AND(표1_[[#This Row],[유지회차]]=표1_[[#This Row],[회차리스트]], OR(B346="해지", B346="실효", B346="만기", B346="사망")), 1, 0)</f>
        <v>0</v>
      </c>
    </row>
    <row r="347" spans="1:10" x14ac:dyDescent="0.3">
      <c r="A347">
        <v>9</v>
      </c>
      <c r="B347" t="s">
        <v>6</v>
      </c>
      <c r="C347" s="5">
        <v>45038</v>
      </c>
      <c r="D347" s="5">
        <v>46112</v>
      </c>
      <c r="E347" t="s">
        <v>22</v>
      </c>
      <c r="F347" t="s">
        <v>32</v>
      </c>
      <c r="G347" t="s">
        <v>42</v>
      </c>
      <c r="H347">
        <v>36</v>
      </c>
      <c r="I347">
        <v>23</v>
      </c>
      <c r="J347">
        <f>IF(AND(표1_[[#This Row],[유지회차]]=표1_[[#This Row],[회차리스트]], OR(B347="해지", B347="실효", B347="만기", B347="사망")), 1, 0)</f>
        <v>0</v>
      </c>
    </row>
    <row r="348" spans="1:10" x14ac:dyDescent="0.3">
      <c r="A348">
        <v>9</v>
      </c>
      <c r="B348" t="s">
        <v>6</v>
      </c>
      <c r="C348" s="5">
        <v>45038</v>
      </c>
      <c r="D348" s="5">
        <v>46112</v>
      </c>
      <c r="E348" t="s">
        <v>22</v>
      </c>
      <c r="F348" t="s">
        <v>32</v>
      </c>
      <c r="G348" t="s">
        <v>42</v>
      </c>
      <c r="H348">
        <v>36</v>
      </c>
      <c r="I348">
        <v>24</v>
      </c>
      <c r="J348">
        <f>IF(AND(표1_[[#This Row],[유지회차]]=표1_[[#This Row],[회차리스트]], OR(B348="해지", B348="실효", B348="만기", B348="사망")), 1, 0)</f>
        <v>0</v>
      </c>
    </row>
    <row r="349" spans="1:10" x14ac:dyDescent="0.3">
      <c r="A349">
        <v>9</v>
      </c>
      <c r="B349" t="s">
        <v>6</v>
      </c>
      <c r="C349" s="5">
        <v>45038</v>
      </c>
      <c r="D349" s="5">
        <v>46112</v>
      </c>
      <c r="E349" t="s">
        <v>22</v>
      </c>
      <c r="F349" t="s">
        <v>32</v>
      </c>
      <c r="G349" t="s">
        <v>42</v>
      </c>
      <c r="H349">
        <v>36</v>
      </c>
      <c r="I349">
        <v>25</v>
      </c>
      <c r="J349">
        <f>IF(AND(표1_[[#This Row],[유지회차]]=표1_[[#This Row],[회차리스트]], OR(B349="해지", B349="실효", B349="만기", B349="사망")), 1, 0)</f>
        <v>0</v>
      </c>
    </row>
    <row r="350" spans="1:10" x14ac:dyDescent="0.3">
      <c r="A350">
        <v>9</v>
      </c>
      <c r="B350" t="s">
        <v>6</v>
      </c>
      <c r="C350" s="5">
        <v>45038</v>
      </c>
      <c r="D350" s="5">
        <v>46112</v>
      </c>
      <c r="E350" t="s">
        <v>22</v>
      </c>
      <c r="F350" t="s">
        <v>32</v>
      </c>
      <c r="G350" t="s">
        <v>42</v>
      </c>
      <c r="H350">
        <v>36</v>
      </c>
      <c r="I350">
        <v>26</v>
      </c>
      <c r="J350">
        <f>IF(AND(표1_[[#This Row],[유지회차]]=표1_[[#This Row],[회차리스트]], OR(B350="해지", B350="실효", B350="만기", B350="사망")), 1, 0)</f>
        <v>0</v>
      </c>
    </row>
    <row r="351" spans="1:10" x14ac:dyDescent="0.3">
      <c r="A351">
        <v>9</v>
      </c>
      <c r="B351" t="s">
        <v>6</v>
      </c>
      <c r="C351" s="5">
        <v>45038</v>
      </c>
      <c r="D351" s="5">
        <v>46112</v>
      </c>
      <c r="E351" t="s">
        <v>22</v>
      </c>
      <c r="F351" t="s">
        <v>32</v>
      </c>
      <c r="G351" t="s">
        <v>42</v>
      </c>
      <c r="H351">
        <v>36</v>
      </c>
      <c r="I351">
        <v>27</v>
      </c>
      <c r="J351">
        <f>IF(AND(표1_[[#This Row],[유지회차]]=표1_[[#This Row],[회차리스트]], OR(B351="해지", B351="실효", B351="만기", B351="사망")), 1, 0)</f>
        <v>0</v>
      </c>
    </row>
    <row r="352" spans="1:10" x14ac:dyDescent="0.3">
      <c r="A352">
        <v>9</v>
      </c>
      <c r="B352" t="s">
        <v>6</v>
      </c>
      <c r="C352" s="5">
        <v>45038</v>
      </c>
      <c r="D352" s="5">
        <v>46112</v>
      </c>
      <c r="E352" t="s">
        <v>22</v>
      </c>
      <c r="F352" t="s">
        <v>32</v>
      </c>
      <c r="G352" t="s">
        <v>42</v>
      </c>
      <c r="H352">
        <v>36</v>
      </c>
      <c r="I352">
        <v>28</v>
      </c>
      <c r="J352">
        <f>IF(AND(표1_[[#This Row],[유지회차]]=표1_[[#This Row],[회차리스트]], OR(B352="해지", B352="실효", B352="만기", B352="사망")), 1, 0)</f>
        <v>0</v>
      </c>
    </row>
    <row r="353" spans="1:10" x14ac:dyDescent="0.3">
      <c r="A353">
        <v>9</v>
      </c>
      <c r="B353" t="s">
        <v>6</v>
      </c>
      <c r="C353" s="5">
        <v>45038</v>
      </c>
      <c r="D353" s="5">
        <v>46112</v>
      </c>
      <c r="E353" t="s">
        <v>22</v>
      </c>
      <c r="F353" t="s">
        <v>32</v>
      </c>
      <c r="G353" t="s">
        <v>42</v>
      </c>
      <c r="H353">
        <v>36</v>
      </c>
      <c r="I353">
        <v>29</v>
      </c>
      <c r="J353">
        <f>IF(AND(표1_[[#This Row],[유지회차]]=표1_[[#This Row],[회차리스트]], OR(B353="해지", B353="실효", B353="만기", B353="사망")), 1, 0)</f>
        <v>0</v>
      </c>
    </row>
    <row r="354" spans="1:10" x14ac:dyDescent="0.3">
      <c r="A354">
        <v>9</v>
      </c>
      <c r="B354" t="s">
        <v>6</v>
      </c>
      <c r="C354" s="5">
        <v>45038</v>
      </c>
      <c r="D354" s="5">
        <v>46112</v>
      </c>
      <c r="E354" t="s">
        <v>22</v>
      </c>
      <c r="F354" t="s">
        <v>32</v>
      </c>
      <c r="G354" t="s">
        <v>42</v>
      </c>
      <c r="H354">
        <v>36</v>
      </c>
      <c r="I354">
        <v>30</v>
      </c>
      <c r="J354">
        <f>IF(AND(표1_[[#This Row],[유지회차]]=표1_[[#This Row],[회차리스트]], OR(B354="해지", B354="실효", B354="만기", B354="사망")), 1, 0)</f>
        <v>0</v>
      </c>
    </row>
    <row r="355" spans="1:10" x14ac:dyDescent="0.3">
      <c r="A355">
        <v>9</v>
      </c>
      <c r="B355" t="s">
        <v>6</v>
      </c>
      <c r="C355" s="5">
        <v>45038</v>
      </c>
      <c r="D355" s="5">
        <v>46112</v>
      </c>
      <c r="E355" t="s">
        <v>22</v>
      </c>
      <c r="F355" t="s">
        <v>32</v>
      </c>
      <c r="G355" t="s">
        <v>42</v>
      </c>
      <c r="H355">
        <v>36</v>
      </c>
      <c r="I355">
        <v>31</v>
      </c>
      <c r="J355">
        <f>IF(AND(표1_[[#This Row],[유지회차]]=표1_[[#This Row],[회차리스트]], OR(B355="해지", B355="실효", B355="만기", B355="사망")), 1, 0)</f>
        <v>0</v>
      </c>
    </row>
    <row r="356" spans="1:10" x14ac:dyDescent="0.3">
      <c r="A356">
        <v>9</v>
      </c>
      <c r="B356" t="s">
        <v>6</v>
      </c>
      <c r="C356" s="5">
        <v>45038</v>
      </c>
      <c r="D356" s="5">
        <v>46112</v>
      </c>
      <c r="E356" t="s">
        <v>22</v>
      </c>
      <c r="F356" t="s">
        <v>32</v>
      </c>
      <c r="G356" t="s">
        <v>42</v>
      </c>
      <c r="H356">
        <v>36</v>
      </c>
      <c r="I356">
        <v>32</v>
      </c>
      <c r="J356">
        <f>IF(AND(표1_[[#This Row],[유지회차]]=표1_[[#This Row],[회차리스트]], OR(B356="해지", B356="실효", B356="만기", B356="사망")), 1, 0)</f>
        <v>0</v>
      </c>
    </row>
    <row r="357" spans="1:10" x14ac:dyDescent="0.3">
      <c r="A357">
        <v>9</v>
      </c>
      <c r="B357" t="s">
        <v>6</v>
      </c>
      <c r="C357" s="5">
        <v>45038</v>
      </c>
      <c r="D357" s="5">
        <v>46112</v>
      </c>
      <c r="E357" t="s">
        <v>22</v>
      </c>
      <c r="F357" t="s">
        <v>32</v>
      </c>
      <c r="G357" t="s">
        <v>42</v>
      </c>
      <c r="H357">
        <v>36</v>
      </c>
      <c r="I357">
        <v>33</v>
      </c>
      <c r="J357">
        <f>IF(AND(표1_[[#This Row],[유지회차]]=표1_[[#This Row],[회차리스트]], OR(B357="해지", B357="실효", B357="만기", B357="사망")), 1, 0)</f>
        <v>0</v>
      </c>
    </row>
    <row r="358" spans="1:10" x14ac:dyDescent="0.3">
      <c r="A358">
        <v>9</v>
      </c>
      <c r="B358" t="s">
        <v>6</v>
      </c>
      <c r="C358" s="5">
        <v>45038</v>
      </c>
      <c r="D358" s="5">
        <v>46112</v>
      </c>
      <c r="E358" t="s">
        <v>22</v>
      </c>
      <c r="F358" t="s">
        <v>32</v>
      </c>
      <c r="G358" t="s">
        <v>42</v>
      </c>
      <c r="H358">
        <v>36</v>
      </c>
      <c r="I358">
        <v>34</v>
      </c>
      <c r="J358">
        <f>IF(AND(표1_[[#This Row],[유지회차]]=표1_[[#This Row],[회차리스트]], OR(B358="해지", B358="실효", B358="만기", B358="사망")), 1, 0)</f>
        <v>0</v>
      </c>
    </row>
    <row r="359" spans="1:10" x14ac:dyDescent="0.3">
      <c r="A359">
        <v>9</v>
      </c>
      <c r="B359" t="s">
        <v>6</v>
      </c>
      <c r="C359" s="5">
        <v>45038</v>
      </c>
      <c r="D359" s="5">
        <v>46112</v>
      </c>
      <c r="E359" t="s">
        <v>22</v>
      </c>
      <c r="F359" t="s">
        <v>32</v>
      </c>
      <c r="G359" t="s">
        <v>42</v>
      </c>
      <c r="H359">
        <v>36</v>
      </c>
      <c r="I359">
        <v>35</v>
      </c>
      <c r="J359">
        <f>IF(AND(표1_[[#This Row],[유지회차]]=표1_[[#This Row],[회차리스트]], OR(B359="해지", B359="실효", B359="만기", B359="사망")), 1, 0)</f>
        <v>0</v>
      </c>
    </row>
    <row r="360" spans="1:10" x14ac:dyDescent="0.3">
      <c r="A360">
        <v>9</v>
      </c>
      <c r="B360" t="s">
        <v>6</v>
      </c>
      <c r="C360" s="5">
        <v>45038</v>
      </c>
      <c r="D360" s="5">
        <v>46112</v>
      </c>
      <c r="E360" t="s">
        <v>22</v>
      </c>
      <c r="F360" t="s">
        <v>32</v>
      </c>
      <c r="G360" t="s">
        <v>42</v>
      </c>
      <c r="H360">
        <v>36</v>
      </c>
      <c r="I360">
        <v>36</v>
      </c>
      <c r="J360">
        <f>IF(AND(표1_[[#This Row],[유지회차]]=표1_[[#This Row],[회차리스트]], OR(B360="해지", B360="실효", B360="만기", B360="사망")), 1, 0)</f>
        <v>0</v>
      </c>
    </row>
    <row r="361" spans="1:10" x14ac:dyDescent="0.3">
      <c r="A361">
        <v>10</v>
      </c>
      <c r="B361" t="s">
        <v>6</v>
      </c>
      <c r="C361" s="5">
        <v>45545</v>
      </c>
      <c r="D361" s="5">
        <v>46112</v>
      </c>
      <c r="E361" t="s">
        <v>26</v>
      </c>
      <c r="F361" t="s">
        <v>32</v>
      </c>
      <c r="G361" t="s">
        <v>44</v>
      </c>
      <c r="H361">
        <v>19</v>
      </c>
      <c r="I361">
        <v>1</v>
      </c>
      <c r="J361">
        <f>IF(AND(표1_[[#This Row],[유지회차]]=표1_[[#This Row],[회차리스트]], OR(B361="해지", B361="실효", B361="만기", B361="사망")), 1, 0)</f>
        <v>0</v>
      </c>
    </row>
    <row r="362" spans="1:10" x14ac:dyDescent="0.3">
      <c r="A362">
        <v>10</v>
      </c>
      <c r="B362" t="s">
        <v>6</v>
      </c>
      <c r="C362" s="5">
        <v>45545</v>
      </c>
      <c r="D362" s="5">
        <v>46112</v>
      </c>
      <c r="E362" t="s">
        <v>26</v>
      </c>
      <c r="F362" t="s">
        <v>32</v>
      </c>
      <c r="G362" t="s">
        <v>44</v>
      </c>
      <c r="H362">
        <v>19</v>
      </c>
      <c r="I362">
        <v>2</v>
      </c>
      <c r="J362">
        <f>IF(AND(표1_[[#This Row],[유지회차]]=표1_[[#This Row],[회차리스트]], OR(B362="해지", B362="실효", B362="만기", B362="사망")), 1, 0)</f>
        <v>0</v>
      </c>
    </row>
    <row r="363" spans="1:10" x14ac:dyDescent="0.3">
      <c r="A363">
        <v>10</v>
      </c>
      <c r="B363" t="s">
        <v>6</v>
      </c>
      <c r="C363" s="5">
        <v>45545</v>
      </c>
      <c r="D363" s="5">
        <v>46112</v>
      </c>
      <c r="E363" t="s">
        <v>26</v>
      </c>
      <c r="F363" t="s">
        <v>32</v>
      </c>
      <c r="G363" t="s">
        <v>44</v>
      </c>
      <c r="H363">
        <v>19</v>
      </c>
      <c r="I363">
        <v>3</v>
      </c>
      <c r="J363">
        <f>IF(AND(표1_[[#This Row],[유지회차]]=표1_[[#This Row],[회차리스트]], OR(B363="해지", B363="실효", B363="만기", B363="사망")), 1, 0)</f>
        <v>0</v>
      </c>
    </row>
    <row r="364" spans="1:10" x14ac:dyDescent="0.3">
      <c r="A364">
        <v>10</v>
      </c>
      <c r="B364" t="s">
        <v>6</v>
      </c>
      <c r="C364" s="5">
        <v>45545</v>
      </c>
      <c r="D364" s="5">
        <v>46112</v>
      </c>
      <c r="E364" t="s">
        <v>26</v>
      </c>
      <c r="F364" t="s">
        <v>32</v>
      </c>
      <c r="G364" t="s">
        <v>44</v>
      </c>
      <c r="H364">
        <v>19</v>
      </c>
      <c r="I364">
        <v>4</v>
      </c>
      <c r="J364">
        <f>IF(AND(표1_[[#This Row],[유지회차]]=표1_[[#This Row],[회차리스트]], OR(B364="해지", B364="실효", B364="만기", B364="사망")), 1, 0)</f>
        <v>0</v>
      </c>
    </row>
    <row r="365" spans="1:10" x14ac:dyDescent="0.3">
      <c r="A365">
        <v>10</v>
      </c>
      <c r="B365" t="s">
        <v>6</v>
      </c>
      <c r="C365" s="5">
        <v>45545</v>
      </c>
      <c r="D365" s="5">
        <v>46112</v>
      </c>
      <c r="E365" t="s">
        <v>26</v>
      </c>
      <c r="F365" t="s">
        <v>32</v>
      </c>
      <c r="G365" t="s">
        <v>44</v>
      </c>
      <c r="H365">
        <v>19</v>
      </c>
      <c r="I365">
        <v>5</v>
      </c>
      <c r="J365">
        <f>IF(AND(표1_[[#This Row],[유지회차]]=표1_[[#This Row],[회차리스트]], OR(B365="해지", B365="실효", B365="만기", B365="사망")), 1, 0)</f>
        <v>0</v>
      </c>
    </row>
    <row r="366" spans="1:10" x14ac:dyDescent="0.3">
      <c r="A366">
        <v>10</v>
      </c>
      <c r="B366" t="s">
        <v>6</v>
      </c>
      <c r="C366" s="5">
        <v>45545</v>
      </c>
      <c r="D366" s="5">
        <v>46112</v>
      </c>
      <c r="E366" t="s">
        <v>26</v>
      </c>
      <c r="F366" t="s">
        <v>32</v>
      </c>
      <c r="G366" t="s">
        <v>44</v>
      </c>
      <c r="H366">
        <v>19</v>
      </c>
      <c r="I366">
        <v>6</v>
      </c>
      <c r="J366">
        <f>IF(AND(표1_[[#This Row],[유지회차]]=표1_[[#This Row],[회차리스트]], OR(B366="해지", B366="실효", B366="만기", B366="사망")), 1, 0)</f>
        <v>0</v>
      </c>
    </row>
    <row r="367" spans="1:10" x14ac:dyDescent="0.3">
      <c r="A367">
        <v>10</v>
      </c>
      <c r="B367" t="s">
        <v>6</v>
      </c>
      <c r="C367" s="5">
        <v>45545</v>
      </c>
      <c r="D367" s="5">
        <v>46112</v>
      </c>
      <c r="E367" t="s">
        <v>26</v>
      </c>
      <c r="F367" t="s">
        <v>32</v>
      </c>
      <c r="G367" t="s">
        <v>44</v>
      </c>
      <c r="H367">
        <v>19</v>
      </c>
      <c r="I367">
        <v>7</v>
      </c>
      <c r="J367">
        <f>IF(AND(표1_[[#This Row],[유지회차]]=표1_[[#This Row],[회차리스트]], OR(B367="해지", B367="실효", B367="만기", B367="사망")), 1, 0)</f>
        <v>0</v>
      </c>
    </row>
    <row r="368" spans="1:10" x14ac:dyDescent="0.3">
      <c r="A368">
        <v>10</v>
      </c>
      <c r="B368" t="s">
        <v>6</v>
      </c>
      <c r="C368" s="5">
        <v>45545</v>
      </c>
      <c r="D368" s="5">
        <v>46112</v>
      </c>
      <c r="E368" t="s">
        <v>26</v>
      </c>
      <c r="F368" t="s">
        <v>32</v>
      </c>
      <c r="G368" t="s">
        <v>44</v>
      </c>
      <c r="H368">
        <v>19</v>
      </c>
      <c r="I368">
        <v>8</v>
      </c>
      <c r="J368">
        <f>IF(AND(표1_[[#This Row],[유지회차]]=표1_[[#This Row],[회차리스트]], OR(B368="해지", B368="실효", B368="만기", B368="사망")), 1, 0)</f>
        <v>0</v>
      </c>
    </row>
    <row r="369" spans="1:10" x14ac:dyDescent="0.3">
      <c r="A369">
        <v>10</v>
      </c>
      <c r="B369" t="s">
        <v>6</v>
      </c>
      <c r="C369" s="5">
        <v>45545</v>
      </c>
      <c r="D369" s="5">
        <v>46112</v>
      </c>
      <c r="E369" t="s">
        <v>26</v>
      </c>
      <c r="F369" t="s">
        <v>32</v>
      </c>
      <c r="G369" t="s">
        <v>44</v>
      </c>
      <c r="H369">
        <v>19</v>
      </c>
      <c r="I369">
        <v>9</v>
      </c>
      <c r="J369">
        <f>IF(AND(표1_[[#This Row],[유지회차]]=표1_[[#This Row],[회차리스트]], OR(B369="해지", B369="실효", B369="만기", B369="사망")), 1, 0)</f>
        <v>0</v>
      </c>
    </row>
    <row r="370" spans="1:10" x14ac:dyDescent="0.3">
      <c r="A370">
        <v>10</v>
      </c>
      <c r="B370" t="s">
        <v>6</v>
      </c>
      <c r="C370" s="5">
        <v>45545</v>
      </c>
      <c r="D370" s="5">
        <v>46112</v>
      </c>
      <c r="E370" t="s">
        <v>26</v>
      </c>
      <c r="F370" t="s">
        <v>32</v>
      </c>
      <c r="G370" t="s">
        <v>44</v>
      </c>
      <c r="H370">
        <v>19</v>
      </c>
      <c r="I370">
        <v>10</v>
      </c>
      <c r="J370">
        <f>IF(AND(표1_[[#This Row],[유지회차]]=표1_[[#This Row],[회차리스트]], OR(B370="해지", B370="실효", B370="만기", B370="사망")), 1, 0)</f>
        <v>0</v>
      </c>
    </row>
    <row r="371" spans="1:10" x14ac:dyDescent="0.3">
      <c r="A371">
        <v>10</v>
      </c>
      <c r="B371" t="s">
        <v>6</v>
      </c>
      <c r="C371" s="5">
        <v>45545</v>
      </c>
      <c r="D371" s="5">
        <v>46112</v>
      </c>
      <c r="E371" t="s">
        <v>26</v>
      </c>
      <c r="F371" t="s">
        <v>32</v>
      </c>
      <c r="G371" t="s">
        <v>44</v>
      </c>
      <c r="H371">
        <v>19</v>
      </c>
      <c r="I371">
        <v>11</v>
      </c>
      <c r="J371">
        <f>IF(AND(표1_[[#This Row],[유지회차]]=표1_[[#This Row],[회차리스트]], OR(B371="해지", B371="실효", B371="만기", B371="사망")), 1, 0)</f>
        <v>0</v>
      </c>
    </row>
    <row r="372" spans="1:10" x14ac:dyDescent="0.3">
      <c r="A372">
        <v>10</v>
      </c>
      <c r="B372" t="s">
        <v>6</v>
      </c>
      <c r="C372" s="5">
        <v>45545</v>
      </c>
      <c r="D372" s="5">
        <v>46112</v>
      </c>
      <c r="E372" t="s">
        <v>26</v>
      </c>
      <c r="F372" t="s">
        <v>32</v>
      </c>
      <c r="G372" t="s">
        <v>44</v>
      </c>
      <c r="H372">
        <v>19</v>
      </c>
      <c r="I372">
        <v>12</v>
      </c>
      <c r="J372">
        <f>IF(AND(표1_[[#This Row],[유지회차]]=표1_[[#This Row],[회차리스트]], OR(B372="해지", B372="실효", B372="만기", B372="사망")), 1, 0)</f>
        <v>0</v>
      </c>
    </row>
    <row r="373" spans="1:10" x14ac:dyDescent="0.3">
      <c r="A373">
        <v>10</v>
      </c>
      <c r="B373" t="s">
        <v>6</v>
      </c>
      <c r="C373" s="5">
        <v>45545</v>
      </c>
      <c r="D373" s="5">
        <v>46112</v>
      </c>
      <c r="E373" t="s">
        <v>26</v>
      </c>
      <c r="F373" t="s">
        <v>32</v>
      </c>
      <c r="G373" t="s">
        <v>44</v>
      </c>
      <c r="H373">
        <v>19</v>
      </c>
      <c r="I373">
        <v>13</v>
      </c>
      <c r="J373">
        <f>IF(AND(표1_[[#This Row],[유지회차]]=표1_[[#This Row],[회차리스트]], OR(B373="해지", B373="실효", B373="만기", B373="사망")), 1, 0)</f>
        <v>0</v>
      </c>
    </row>
    <row r="374" spans="1:10" x14ac:dyDescent="0.3">
      <c r="A374">
        <v>10</v>
      </c>
      <c r="B374" t="s">
        <v>6</v>
      </c>
      <c r="C374" s="5">
        <v>45545</v>
      </c>
      <c r="D374" s="5">
        <v>46112</v>
      </c>
      <c r="E374" t="s">
        <v>26</v>
      </c>
      <c r="F374" t="s">
        <v>32</v>
      </c>
      <c r="G374" t="s">
        <v>44</v>
      </c>
      <c r="H374">
        <v>19</v>
      </c>
      <c r="I374">
        <v>14</v>
      </c>
      <c r="J374">
        <f>IF(AND(표1_[[#This Row],[유지회차]]=표1_[[#This Row],[회차리스트]], OR(B374="해지", B374="실효", B374="만기", B374="사망")), 1, 0)</f>
        <v>0</v>
      </c>
    </row>
    <row r="375" spans="1:10" x14ac:dyDescent="0.3">
      <c r="A375">
        <v>10</v>
      </c>
      <c r="B375" t="s">
        <v>6</v>
      </c>
      <c r="C375" s="5">
        <v>45545</v>
      </c>
      <c r="D375" s="5">
        <v>46112</v>
      </c>
      <c r="E375" t="s">
        <v>26</v>
      </c>
      <c r="F375" t="s">
        <v>32</v>
      </c>
      <c r="G375" t="s">
        <v>44</v>
      </c>
      <c r="H375">
        <v>19</v>
      </c>
      <c r="I375">
        <v>15</v>
      </c>
      <c r="J375">
        <f>IF(AND(표1_[[#This Row],[유지회차]]=표1_[[#This Row],[회차리스트]], OR(B375="해지", B375="실효", B375="만기", B375="사망")), 1, 0)</f>
        <v>0</v>
      </c>
    </row>
    <row r="376" spans="1:10" x14ac:dyDescent="0.3">
      <c r="A376">
        <v>10</v>
      </c>
      <c r="B376" t="s">
        <v>6</v>
      </c>
      <c r="C376" s="5">
        <v>45545</v>
      </c>
      <c r="D376" s="5">
        <v>46112</v>
      </c>
      <c r="E376" t="s">
        <v>26</v>
      </c>
      <c r="F376" t="s">
        <v>32</v>
      </c>
      <c r="G376" t="s">
        <v>44</v>
      </c>
      <c r="H376">
        <v>19</v>
      </c>
      <c r="I376">
        <v>16</v>
      </c>
      <c r="J376">
        <f>IF(AND(표1_[[#This Row],[유지회차]]=표1_[[#This Row],[회차리스트]], OR(B376="해지", B376="실효", B376="만기", B376="사망")), 1, 0)</f>
        <v>0</v>
      </c>
    </row>
    <row r="377" spans="1:10" x14ac:dyDescent="0.3">
      <c r="A377">
        <v>10</v>
      </c>
      <c r="B377" t="s">
        <v>6</v>
      </c>
      <c r="C377" s="5">
        <v>45545</v>
      </c>
      <c r="D377" s="5">
        <v>46112</v>
      </c>
      <c r="E377" t="s">
        <v>26</v>
      </c>
      <c r="F377" t="s">
        <v>32</v>
      </c>
      <c r="G377" t="s">
        <v>44</v>
      </c>
      <c r="H377">
        <v>19</v>
      </c>
      <c r="I377">
        <v>17</v>
      </c>
      <c r="J377">
        <f>IF(AND(표1_[[#This Row],[유지회차]]=표1_[[#This Row],[회차리스트]], OR(B377="해지", B377="실효", B377="만기", B377="사망")), 1, 0)</f>
        <v>0</v>
      </c>
    </row>
    <row r="378" spans="1:10" x14ac:dyDescent="0.3">
      <c r="A378">
        <v>10</v>
      </c>
      <c r="B378" t="s">
        <v>6</v>
      </c>
      <c r="C378" s="5">
        <v>45545</v>
      </c>
      <c r="D378" s="5">
        <v>46112</v>
      </c>
      <c r="E378" t="s">
        <v>26</v>
      </c>
      <c r="F378" t="s">
        <v>32</v>
      </c>
      <c r="G378" t="s">
        <v>44</v>
      </c>
      <c r="H378">
        <v>19</v>
      </c>
      <c r="I378">
        <v>18</v>
      </c>
      <c r="J378">
        <f>IF(AND(표1_[[#This Row],[유지회차]]=표1_[[#This Row],[회차리스트]], OR(B378="해지", B378="실효", B378="만기", B378="사망")), 1, 0)</f>
        <v>0</v>
      </c>
    </row>
    <row r="379" spans="1:10" x14ac:dyDescent="0.3">
      <c r="A379">
        <v>10</v>
      </c>
      <c r="B379" t="s">
        <v>6</v>
      </c>
      <c r="C379" s="5">
        <v>45545</v>
      </c>
      <c r="D379" s="5">
        <v>46112</v>
      </c>
      <c r="E379" t="s">
        <v>26</v>
      </c>
      <c r="F379" t="s">
        <v>32</v>
      </c>
      <c r="G379" t="s">
        <v>44</v>
      </c>
      <c r="H379">
        <v>19</v>
      </c>
      <c r="I379">
        <v>19</v>
      </c>
      <c r="J379">
        <f>IF(AND(표1_[[#This Row],[유지회차]]=표1_[[#This Row],[회차리스트]], OR(B379="해지", B379="실효", B379="만기", B379="사망")), 1, 0)</f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45F75-BF0C-4937-8E41-2249B792EC6D}">
  <dimension ref="A3:O65"/>
  <sheetViews>
    <sheetView tabSelected="1" zoomScale="85" zoomScaleNormal="85" workbookViewId="0">
      <selection activeCell="N2" sqref="N2"/>
    </sheetView>
  </sheetViews>
  <sheetFormatPr defaultRowHeight="16.5" x14ac:dyDescent="0.3"/>
  <cols>
    <col min="1" max="1" width="11.875" bestFit="1" customWidth="1"/>
    <col min="2" max="2" width="14.375" bestFit="1" customWidth="1"/>
    <col min="3" max="3" width="13.125" bestFit="1" customWidth="1"/>
    <col min="4" max="4" width="14.375" bestFit="1" customWidth="1"/>
    <col min="5" max="5" width="13.125" bestFit="1" customWidth="1"/>
    <col min="6" max="6" width="19.25" bestFit="1" customWidth="1"/>
    <col min="7" max="7" width="18" bestFit="1" customWidth="1"/>
    <col min="8" max="8" width="14.375" bestFit="1" customWidth="1"/>
    <col min="9" max="9" width="13.125" bestFit="1" customWidth="1"/>
    <col min="10" max="10" width="14.375" bestFit="1" customWidth="1"/>
    <col min="11" max="11" width="13.125" bestFit="1" customWidth="1"/>
    <col min="12" max="12" width="14.375" bestFit="1" customWidth="1"/>
    <col min="13" max="13" width="13.125" bestFit="1" customWidth="1"/>
    <col min="14" max="14" width="14.375" bestFit="1" customWidth="1"/>
    <col min="15" max="15" width="13.125" bestFit="1" customWidth="1"/>
  </cols>
  <sheetData>
    <row r="3" spans="1:15" x14ac:dyDescent="0.3">
      <c r="B3" s="6" t="s">
        <v>57</v>
      </c>
      <c r="I3" t="s">
        <v>60</v>
      </c>
      <c r="M3" t="s">
        <v>61</v>
      </c>
    </row>
    <row r="4" spans="1:15" x14ac:dyDescent="0.3">
      <c r="B4" t="s">
        <v>44</v>
      </c>
      <c r="D4" t="s">
        <v>42</v>
      </c>
      <c r="F4" t="s">
        <v>58</v>
      </c>
      <c r="G4" t="s">
        <v>59</v>
      </c>
    </row>
    <row r="5" spans="1:15" x14ac:dyDescent="0.3">
      <c r="A5" s="6" t="s">
        <v>50</v>
      </c>
      <c r="B5" t="s">
        <v>52</v>
      </c>
      <c r="C5" t="s">
        <v>53</v>
      </c>
      <c r="D5" t="s">
        <v>52</v>
      </c>
      <c r="E5" t="s">
        <v>53</v>
      </c>
      <c r="I5" t="s">
        <v>54</v>
      </c>
      <c r="J5" t="s">
        <v>55</v>
      </c>
      <c r="K5" t="s">
        <v>56</v>
      </c>
      <c r="M5" t="s">
        <v>54</v>
      </c>
      <c r="N5" t="s">
        <v>55</v>
      </c>
      <c r="O5" t="s">
        <v>56</v>
      </c>
    </row>
    <row r="6" spans="1:15" x14ac:dyDescent="0.3">
      <c r="A6" s="7">
        <v>1</v>
      </c>
      <c r="B6" s="8">
        <v>23</v>
      </c>
      <c r="C6" s="8">
        <v>0</v>
      </c>
      <c r="D6" s="8">
        <v>32</v>
      </c>
      <c r="E6" s="8">
        <v>0</v>
      </c>
      <c r="F6" s="8">
        <v>55</v>
      </c>
      <c r="G6" s="8">
        <v>0</v>
      </c>
      <c r="I6" s="9">
        <f>+IFERROR(C6/B6,0%)</f>
        <v>0</v>
      </c>
      <c r="J6" s="10">
        <f>1-I6</f>
        <v>1</v>
      </c>
      <c r="K6" s="10">
        <f>PRODUCT($J$6:J6)</f>
        <v>1</v>
      </c>
      <c r="M6" s="9">
        <f>+IFERROR(E6/D6,0%)</f>
        <v>0</v>
      </c>
      <c r="N6" s="10">
        <f>1-M6</f>
        <v>1</v>
      </c>
      <c r="O6" s="10">
        <f>PRODUCT($N$6:N6)</f>
        <v>1</v>
      </c>
    </row>
    <row r="7" spans="1:15" x14ac:dyDescent="0.3">
      <c r="A7" s="7">
        <v>2</v>
      </c>
      <c r="B7" s="8">
        <v>23</v>
      </c>
      <c r="C7" s="8">
        <v>0</v>
      </c>
      <c r="D7" s="8">
        <v>32</v>
      </c>
      <c r="E7" s="8">
        <v>0</v>
      </c>
      <c r="F7" s="8">
        <v>55</v>
      </c>
      <c r="G7" s="8">
        <v>0</v>
      </c>
      <c r="I7" s="9">
        <f t="shared" ref="I7:I14" si="0">+IFERROR(C7/B7,0%)</f>
        <v>0</v>
      </c>
      <c r="J7" s="10">
        <f t="shared" ref="J7:J14" si="1">1-I7</f>
        <v>1</v>
      </c>
      <c r="K7" s="10">
        <f>PRODUCT($J$6:J7)</f>
        <v>1</v>
      </c>
      <c r="M7" s="9">
        <f t="shared" ref="M7:M14" si="2">+IFERROR(E7/D7,0%)</f>
        <v>0</v>
      </c>
      <c r="N7" s="10">
        <f t="shared" ref="N7:N14" si="3">1-M7</f>
        <v>1</v>
      </c>
      <c r="O7" s="10">
        <f>PRODUCT($N$6:N7)</f>
        <v>1</v>
      </c>
    </row>
    <row r="8" spans="1:15" x14ac:dyDescent="0.3">
      <c r="A8" s="7">
        <v>3</v>
      </c>
      <c r="B8" s="8">
        <v>23</v>
      </c>
      <c r="C8" s="8">
        <v>0</v>
      </c>
      <c r="D8" s="8">
        <v>32</v>
      </c>
      <c r="E8" s="8">
        <v>0</v>
      </c>
      <c r="F8" s="8">
        <v>55</v>
      </c>
      <c r="G8" s="8">
        <v>0</v>
      </c>
      <c r="I8" s="9">
        <f t="shared" si="0"/>
        <v>0</v>
      </c>
      <c r="J8" s="10">
        <f t="shared" si="1"/>
        <v>1</v>
      </c>
      <c r="K8" s="10">
        <f>PRODUCT($J$6:J8)</f>
        <v>1</v>
      </c>
      <c r="M8" s="9">
        <f t="shared" si="2"/>
        <v>0</v>
      </c>
      <c r="N8" s="10">
        <f t="shared" si="3"/>
        <v>1</v>
      </c>
      <c r="O8" s="10">
        <f>PRODUCT($N$6:N8)</f>
        <v>1</v>
      </c>
    </row>
    <row r="9" spans="1:15" x14ac:dyDescent="0.3">
      <c r="A9" s="7">
        <v>4</v>
      </c>
      <c r="B9" s="8">
        <v>23</v>
      </c>
      <c r="C9" s="8">
        <v>0</v>
      </c>
      <c r="D9" s="8">
        <v>32</v>
      </c>
      <c r="E9" s="8">
        <v>0</v>
      </c>
      <c r="F9" s="8">
        <v>55</v>
      </c>
      <c r="G9" s="8">
        <v>0</v>
      </c>
      <c r="I9" s="9">
        <f t="shared" si="0"/>
        <v>0</v>
      </c>
      <c r="J9" s="10">
        <f t="shared" si="1"/>
        <v>1</v>
      </c>
      <c r="K9" s="10">
        <f>PRODUCT($J$6:J9)</f>
        <v>1</v>
      </c>
      <c r="M9" s="9">
        <f t="shared" si="2"/>
        <v>0</v>
      </c>
      <c r="N9" s="10">
        <f t="shared" si="3"/>
        <v>1</v>
      </c>
      <c r="O9" s="10">
        <f>PRODUCT($N$6:N9)</f>
        <v>1</v>
      </c>
    </row>
    <row r="10" spans="1:15" x14ac:dyDescent="0.3">
      <c r="A10" s="7">
        <v>5</v>
      </c>
      <c r="B10" s="8">
        <v>23</v>
      </c>
      <c r="C10" s="8">
        <v>0</v>
      </c>
      <c r="D10" s="8">
        <v>32</v>
      </c>
      <c r="E10" s="8">
        <v>0</v>
      </c>
      <c r="F10" s="8">
        <v>55</v>
      </c>
      <c r="G10" s="8">
        <v>0</v>
      </c>
      <c r="I10" s="9">
        <f t="shared" si="0"/>
        <v>0</v>
      </c>
      <c r="J10" s="10">
        <f t="shared" si="1"/>
        <v>1</v>
      </c>
      <c r="K10" s="10">
        <f>PRODUCT($J$6:J10)</f>
        <v>1</v>
      </c>
      <c r="M10" s="9">
        <f t="shared" si="2"/>
        <v>0</v>
      </c>
      <c r="N10" s="10">
        <f t="shared" si="3"/>
        <v>1</v>
      </c>
      <c r="O10" s="10">
        <f>PRODUCT($N$6:N10)</f>
        <v>1</v>
      </c>
    </row>
    <row r="11" spans="1:15" x14ac:dyDescent="0.3">
      <c r="A11" s="7">
        <v>6</v>
      </c>
      <c r="B11" s="8">
        <v>23</v>
      </c>
      <c r="C11" s="8">
        <v>0</v>
      </c>
      <c r="D11" s="8">
        <v>32</v>
      </c>
      <c r="E11" s="8">
        <v>0</v>
      </c>
      <c r="F11" s="8">
        <v>55</v>
      </c>
      <c r="G11" s="8">
        <v>0</v>
      </c>
      <c r="I11" s="9">
        <f t="shared" si="0"/>
        <v>0</v>
      </c>
      <c r="J11" s="10">
        <f t="shared" si="1"/>
        <v>1</v>
      </c>
      <c r="K11" s="10">
        <f>PRODUCT($J$6:J11)</f>
        <v>1</v>
      </c>
      <c r="M11" s="9">
        <f t="shared" si="2"/>
        <v>0</v>
      </c>
      <c r="N11" s="10">
        <f t="shared" si="3"/>
        <v>1</v>
      </c>
      <c r="O11" s="10">
        <f>PRODUCT($N$6:N11)</f>
        <v>1</v>
      </c>
    </row>
    <row r="12" spans="1:15" x14ac:dyDescent="0.3">
      <c r="A12" s="7">
        <v>7</v>
      </c>
      <c r="B12" s="8">
        <v>23</v>
      </c>
      <c r="C12" s="8">
        <v>0</v>
      </c>
      <c r="D12" s="8">
        <v>32</v>
      </c>
      <c r="E12" s="8">
        <v>0</v>
      </c>
      <c r="F12" s="8">
        <v>55</v>
      </c>
      <c r="G12" s="8">
        <v>0</v>
      </c>
      <c r="I12" s="9">
        <f t="shared" si="0"/>
        <v>0</v>
      </c>
      <c r="J12" s="10">
        <f t="shared" si="1"/>
        <v>1</v>
      </c>
      <c r="K12" s="10">
        <f>PRODUCT($J$6:J12)</f>
        <v>1</v>
      </c>
      <c r="M12" s="9">
        <f t="shared" si="2"/>
        <v>0</v>
      </c>
      <c r="N12" s="10">
        <f t="shared" si="3"/>
        <v>1</v>
      </c>
      <c r="O12" s="10">
        <f>PRODUCT($N$6:N12)</f>
        <v>1</v>
      </c>
    </row>
    <row r="13" spans="1:15" x14ac:dyDescent="0.3">
      <c r="A13" s="7">
        <v>8</v>
      </c>
      <c r="B13" s="8">
        <v>23</v>
      </c>
      <c r="C13" s="8">
        <v>0</v>
      </c>
      <c r="D13" s="8">
        <v>32</v>
      </c>
      <c r="E13" s="8">
        <v>0</v>
      </c>
      <c r="F13" s="8">
        <v>55</v>
      </c>
      <c r="G13" s="8">
        <v>0</v>
      </c>
      <c r="I13" s="9">
        <f t="shared" si="0"/>
        <v>0</v>
      </c>
      <c r="J13" s="10">
        <f t="shared" si="1"/>
        <v>1</v>
      </c>
      <c r="K13" s="10">
        <f>PRODUCT($J$6:J13)</f>
        <v>1</v>
      </c>
      <c r="M13" s="9">
        <f t="shared" si="2"/>
        <v>0</v>
      </c>
      <c r="N13" s="10">
        <f t="shared" si="3"/>
        <v>1</v>
      </c>
      <c r="O13" s="10">
        <f>PRODUCT($N$6:N13)</f>
        <v>1</v>
      </c>
    </row>
    <row r="14" spans="1:15" x14ac:dyDescent="0.3">
      <c r="A14" s="7">
        <v>9</v>
      </c>
      <c r="B14" s="8">
        <v>23</v>
      </c>
      <c r="C14" s="8">
        <v>0</v>
      </c>
      <c r="D14" s="8">
        <v>32</v>
      </c>
      <c r="E14" s="8">
        <v>0</v>
      </c>
      <c r="F14" s="8">
        <v>55</v>
      </c>
      <c r="G14" s="8">
        <v>0</v>
      </c>
      <c r="I14" s="9">
        <f t="shared" si="0"/>
        <v>0</v>
      </c>
      <c r="J14" s="10">
        <f t="shared" si="1"/>
        <v>1</v>
      </c>
      <c r="K14" s="10">
        <f>PRODUCT($J$6:J14)</f>
        <v>1</v>
      </c>
      <c r="M14" s="9">
        <f t="shared" si="2"/>
        <v>0</v>
      </c>
      <c r="N14" s="10">
        <f t="shared" si="3"/>
        <v>1</v>
      </c>
      <c r="O14" s="10">
        <f>PRODUCT($N$6:N14)</f>
        <v>1</v>
      </c>
    </row>
    <row r="15" spans="1:15" x14ac:dyDescent="0.3">
      <c r="A15" s="7">
        <v>10</v>
      </c>
      <c r="B15" s="8">
        <v>23</v>
      </c>
      <c r="C15" s="8">
        <v>0</v>
      </c>
      <c r="D15" s="8">
        <v>32</v>
      </c>
      <c r="E15" s="8">
        <v>0</v>
      </c>
      <c r="F15" s="8">
        <v>55</v>
      </c>
      <c r="G15" s="8">
        <v>0</v>
      </c>
      <c r="I15" s="9">
        <f t="shared" ref="I15:I64" si="4">+IFERROR(C15/B15,0%)</f>
        <v>0</v>
      </c>
      <c r="J15" s="10">
        <f t="shared" ref="J15:J64" si="5">1-I15</f>
        <v>1</v>
      </c>
      <c r="K15" s="10">
        <f>PRODUCT($J$6:J15)</f>
        <v>1</v>
      </c>
      <c r="M15" s="9">
        <f t="shared" ref="M15:M64" si="6">+IFERROR(E15/D15,0%)</f>
        <v>0</v>
      </c>
      <c r="N15" s="10">
        <f t="shared" ref="N15:N64" si="7">1-M15</f>
        <v>1</v>
      </c>
      <c r="O15" s="10">
        <f>PRODUCT($N$6:N15)</f>
        <v>1</v>
      </c>
    </row>
    <row r="16" spans="1:15" x14ac:dyDescent="0.3">
      <c r="A16" s="7">
        <v>11</v>
      </c>
      <c r="B16" s="8">
        <v>23</v>
      </c>
      <c r="C16" s="8">
        <v>0</v>
      </c>
      <c r="D16" s="8">
        <v>32</v>
      </c>
      <c r="E16" s="8">
        <v>0</v>
      </c>
      <c r="F16" s="8">
        <v>55</v>
      </c>
      <c r="G16" s="8">
        <v>0</v>
      </c>
      <c r="I16" s="9">
        <f t="shared" si="4"/>
        <v>0</v>
      </c>
      <c r="J16" s="10">
        <f t="shared" si="5"/>
        <v>1</v>
      </c>
      <c r="K16" s="10">
        <f>PRODUCT($J$6:J16)</f>
        <v>1</v>
      </c>
      <c r="M16" s="9">
        <f t="shared" si="6"/>
        <v>0</v>
      </c>
      <c r="N16" s="10">
        <f t="shared" si="7"/>
        <v>1</v>
      </c>
      <c r="O16" s="10">
        <f>PRODUCT($N$6:N16)</f>
        <v>1</v>
      </c>
    </row>
    <row r="17" spans="1:15" x14ac:dyDescent="0.3">
      <c r="A17" s="7">
        <v>12</v>
      </c>
      <c r="B17" s="8">
        <v>23</v>
      </c>
      <c r="C17" s="8">
        <v>0</v>
      </c>
      <c r="D17" s="8">
        <v>32</v>
      </c>
      <c r="E17" s="8">
        <v>0</v>
      </c>
      <c r="F17" s="8">
        <v>55</v>
      </c>
      <c r="G17" s="8">
        <v>0</v>
      </c>
      <c r="I17" s="9">
        <f t="shared" si="4"/>
        <v>0</v>
      </c>
      <c r="J17" s="10">
        <f t="shared" si="5"/>
        <v>1</v>
      </c>
      <c r="K17" s="10">
        <f>PRODUCT($J$6:J17)</f>
        <v>1</v>
      </c>
      <c r="M17" s="9">
        <f t="shared" si="6"/>
        <v>0</v>
      </c>
      <c r="N17" s="10">
        <f t="shared" si="7"/>
        <v>1</v>
      </c>
      <c r="O17" s="10">
        <f>PRODUCT($N$6:N17)</f>
        <v>1</v>
      </c>
    </row>
    <row r="18" spans="1:15" x14ac:dyDescent="0.3">
      <c r="A18" s="7">
        <v>13</v>
      </c>
      <c r="B18" s="8">
        <v>23</v>
      </c>
      <c r="C18" s="8">
        <v>0</v>
      </c>
      <c r="D18" s="8">
        <v>32</v>
      </c>
      <c r="E18" s="8">
        <v>0</v>
      </c>
      <c r="F18" s="8">
        <v>55</v>
      </c>
      <c r="G18" s="8">
        <v>0</v>
      </c>
      <c r="I18" s="9">
        <f t="shared" si="4"/>
        <v>0</v>
      </c>
      <c r="J18" s="10">
        <f t="shared" si="5"/>
        <v>1</v>
      </c>
      <c r="K18" s="10">
        <f>PRODUCT($J$6:J18)</f>
        <v>1</v>
      </c>
      <c r="M18" s="9">
        <f t="shared" si="6"/>
        <v>0</v>
      </c>
      <c r="N18" s="10">
        <f t="shared" si="7"/>
        <v>1</v>
      </c>
      <c r="O18" s="10">
        <f>PRODUCT($N$6:N18)</f>
        <v>1</v>
      </c>
    </row>
    <row r="19" spans="1:15" x14ac:dyDescent="0.3">
      <c r="A19" s="7">
        <v>14</v>
      </c>
      <c r="B19" s="8">
        <v>23</v>
      </c>
      <c r="C19" s="8">
        <v>0</v>
      </c>
      <c r="D19" s="8">
        <v>32</v>
      </c>
      <c r="E19" s="8">
        <v>0</v>
      </c>
      <c r="F19" s="8">
        <v>55</v>
      </c>
      <c r="G19" s="8">
        <v>0</v>
      </c>
      <c r="I19" s="9">
        <f t="shared" si="4"/>
        <v>0</v>
      </c>
      <c r="J19" s="10">
        <f t="shared" si="5"/>
        <v>1</v>
      </c>
      <c r="K19" s="10">
        <f>PRODUCT($J$6:J19)</f>
        <v>1</v>
      </c>
      <c r="M19" s="9">
        <f t="shared" si="6"/>
        <v>0</v>
      </c>
      <c r="N19" s="10">
        <f t="shared" si="7"/>
        <v>1</v>
      </c>
      <c r="O19" s="10">
        <f>PRODUCT($N$6:N19)</f>
        <v>1</v>
      </c>
    </row>
    <row r="20" spans="1:15" x14ac:dyDescent="0.3">
      <c r="A20" s="7">
        <v>15</v>
      </c>
      <c r="B20" s="8">
        <v>23</v>
      </c>
      <c r="C20" s="8">
        <v>0</v>
      </c>
      <c r="D20" s="8">
        <v>32</v>
      </c>
      <c r="E20" s="8">
        <v>0</v>
      </c>
      <c r="F20" s="8">
        <v>55</v>
      </c>
      <c r="G20" s="8">
        <v>0</v>
      </c>
      <c r="I20" s="9">
        <f t="shared" si="4"/>
        <v>0</v>
      </c>
      <c r="J20" s="10">
        <f t="shared" si="5"/>
        <v>1</v>
      </c>
      <c r="K20" s="10">
        <f>PRODUCT($J$6:J20)</f>
        <v>1</v>
      </c>
      <c r="M20" s="9">
        <f t="shared" si="6"/>
        <v>0</v>
      </c>
      <c r="N20" s="10">
        <f t="shared" si="7"/>
        <v>1</v>
      </c>
      <c r="O20" s="10">
        <f>PRODUCT($N$6:N20)</f>
        <v>1</v>
      </c>
    </row>
    <row r="21" spans="1:15" x14ac:dyDescent="0.3">
      <c r="A21" s="7">
        <v>16</v>
      </c>
      <c r="B21" s="8">
        <v>23</v>
      </c>
      <c r="C21" s="8">
        <v>0</v>
      </c>
      <c r="D21" s="8">
        <v>25</v>
      </c>
      <c r="E21" s="8">
        <v>0</v>
      </c>
      <c r="F21" s="8">
        <v>48</v>
      </c>
      <c r="G21" s="8">
        <v>0</v>
      </c>
      <c r="I21" s="9">
        <f t="shared" si="4"/>
        <v>0</v>
      </c>
      <c r="J21" s="10">
        <f t="shared" si="5"/>
        <v>1</v>
      </c>
      <c r="K21" s="10">
        <f>PRODUCT($J$6:J21)</f>
        <v>1</v>
      </c>
      <c r="M21" s="9">
        <f t="shared" si="6"/>
        <v>0</v>
      </c>
      <c r="N21" s="10">
        <f t="shared" si="7"/>
        <v>1</v>
      </c>
      <c r="O21" s="10">
        <f>PRODUCT($N$6:N21)</f>
        <v>1</v>
      </c>
    </row>
    <row r="22" spans="1:15" x14ac:dyDescent="0.3">
      <c r="A22" s="7">
        <v>17</v>
      </c>
      <c r="B22" s="8">
        <v>23</v>
      </c>
      <c r="C22" s="8">
        <v>0</v>
      </c>
      <c r="D22" s="8">
        <v>25</v>
      </c>
      <c r="E22" s="8">
        <v>0</v>
      </c>
      <c r="F22" s="8">
        <v>48</v>
      </c>
      <c r="G22" s="8">
        <v>0</v>
      </c>
      <c r="I22" s="9">
        <f t="shared" si="4"/>
        <v>0</v>
      </c>
      <c r="J22" s="10">
        <f t="shared" si="5"/>
        <v>1</v>
      </c>
      <c r="K22" s="10">
        <f>PRODUCT($J$6:J22)</f>
        <v>1</v>
      </c>
      <c r="M22" s="9">
        <f t="shared" si="6"/>
        <v>0</v>
      </c>
      <c r="N22" s="10">
        <f t="shared" si="7"/>
        <v>1</v>
      </c>
      <c r="O22" s="10">
        <f>PRODUCT($N$6:N22)</f>
        <v>1</v>
      </c>
    </row>
    <row r="23" spans="1:15" x14ac:dyDescent="0.3">
      <c r="A23" s="7">
        <v>18</v>
      </c>
      <c r="B23" s="8">
        <v>23</v>
      </c>
      <c r="C23" s="8">
        <v>0</v>
      </c>
      <c r="D23" s="8">
        <v>25</v>
      </c>
      <c r="E23" s="8">
        <v>0</v>
      </c>
      <c r="F23" s="8">
        <v>48</v>
      </c>
      <c r="G23" s="8">
        <v>0</v>
      </c>
      <c r="I23" s="9">
        <f t="shared" si="4"/>
        <v>0</v>
      </c>
      <c r="J23" s="10">
        <f t="shared" si="5"/>
        <v>1</v>
      </c>
      <c r="K23" s="10">
        <f>PRODUCT($J$6:J23)</f>
        <v>1</v>
      </c>
      <c r="M23" s="9">
        <f t="shared" si="6"/>
        <v>0</v>
      </c>
      <c r="N23" s="10">
        <f t="shared" si="7"/>
        <v>1</v>
      </c>
      <c r="O23" s="10">
        <f>PRODUCT($N$6:N23)</f>
        <v>1</v>
      </c>
    </row>
    <row r="24" spans="1:15" x14ac:dyDescent="0.3">
      <c r="A24" s="7">
        <v>19</v>
      </c>
      <c r="B24" s="8">
        <v>23</v>
      </c>
      <c r="C24" s="8">
        <v>0</v>
      </c>
      <c r="D24" s="8">
        <v>25</v>
      </c>
      <c r="E24" s="8">
        <v>0</v>
      </c>
      <c r="F24" s="8">
        <v>48</v>
      </c>
      <c r="G24" s="8">
        <v>0</v>
      </c>
      <c r="I24" s="9">
        <f t="shared" si="4"/>
        <v>0</v>
      </c>
      <c r="J24" s="10">
        <f t="shared" si="5"/>
        <v>1</v>
      </c>
      <c r="K24" s="10">
        <f>PRODUCT($J$6:J24)</f>
        <v>1</v>
      </c>
      <c r="M24" s="9">
        <f t="shared" si="6"/>
        <v>0</v>
      </c>
      <c r="N24" s="10">
        <f t="shared" si="7"/>
        <v>1</v>
      </c>
      <c r="O24" s="10">
        <f>PRODUCT($N$6:N24)</f>
        <v>1</v>
      </c>
    </row>
    <row r="25" spans="1:15" x14ac:dyDescent="0.3">
      <c r="A25" s="7">
        <v>20</v>
      </c>
      <c r="B25" s="8">
        <v>13</v>
      </c>
      <c r="C25" s="8">
        <v>0</v>
      </c>
      <c r="D25" s="8">
        <v>25</v>
      </c>
      <c r="E25" s="8">
        <v>0</v>
      </c>
      <c r="F25" s="8">
        <v>38</v>
      </c>
      <c r="G25" s="8">
        <v>0</v>
      </c>
      <c r="I25" s="9">
        <f t="shared" si="4"/>
        <v>0</v>
      </c>
      <c r="J25" s="10">
        <f t="shared" si="5"/>
        <v>1</v>
      </c>
      <c r="K25" s="10">
        <f>PRODUCT($J$6:J25)</f>
        <v>1</v>
      </c>
      <c r="M25" s="9">
        <f t="shared" si="6"/>
        <v>0</v>
      </c>
      <c r="N25" s="10">
        <f t="shared" si="7"/>
        <v>1</v>
      </c>
      <c r="O25" s="10">
        <f>PRODUCT($N$6:N25)</f>
        <v>1</v>
      </c>
    </row>
    <row r="26" spans="1:15" x14ac:dyDescent="0.3">
      <c r="A26" s="7">
        <v>21</v>
      </c>
      <c r="B26" s="8">
        <v>13</v>
      </c>
      <c r="C26" s="8">
        <v>0</v>
      </c>
      <c r="D26" s="8">
        <v>25</v>
      </c>
      <c r="E26" s="8">
        <v>0</v>
      </c>
      <c r="F26" s="8">
        <v>38</v>
      </c>
      <c r="G26" s="8">
        <v>0</v>
      </c>
      <c r="I26" s="9">
        <f t="shared" si="4"/>
        <v>0</v>
      </c>
      <c r="J26" s="10">
        <f t="shared" si="5"/>
        <v>1</v>
      </c>
      <c r="K26" s="10">
        <f>PRODUCT($J$6:J26)</f>
        <v>1</v>
      </c>
      <c r="M26" s="9">
        <f t="shared" si="6"/>
        <v>0</v>
      </c>
      <c r="N26" s="10">
        <f t="shared" si="7"/>
        <v>1</v>
      </c>
      <c r="O26" s="10">
        <f>PRODUCT($N$6:N26)</f>
        <v>1</v>
      </c>
    </row>
    <row r="27" spans="1:15" x14ac:dyDescent="0.3">
      <c r="A27" s="7">
        <v>22</v>
      </c>
      <c r="B27" s="8">
        <v>13</v>
      </c>
      <c r="C27" s="8">
        <v>0</v>
      </c>
      <c r="D27" s="8">
        <v>25</v>
      </c>
      <c r="E27" s="8">
        <v>0</v>
      </c>
      <c r="F27" s="8">
        <v>38</v>
      </c>
      <c r="G27" s="8">
        <v>0</v>
      </c>
      <c r="I27" s="9">
        <f t="shared" si="4"/>
        <v>0</v>
      </c>
      <c r="J27" s="10">
        <f t="shared" si="5"/>
        <v>1</v>
      </c>
      <c r="K27" s="10">
        <f>PRODUCT($J$6:J27)</f>
        <v>1</v>
      </c>
      <c r="M27" s="9">
        <f t="shared" si="6"/>
        <v>0</v>
      </c>
      <c r="N27" s="10">
        <f t="shared" si="7"/>
        <v>1</v>
      </c>
      <c r="O27" s="10">
        <f>PRODUCT($N$6:N27)</f>
        <v>1</v>
      </c>
    </row>
    <row r="28" spans="1:15" x14ac:dyDescent="0.3">
      <c r="A28" s="7">
        <v>23</v>
      </c>
      <c r="B28" s="8">
        <v>13</v>
      </c>
      <c r="C28" s="8">
        <v>0</v>
      </c>
      <c r="D28" s="8">
        <v>25</v>
      </c>
      <c r="E28" s="8">
        <v>0</v>
      </c>
      <c r="F28" s="8">
        <v>38</v>
      </c>
      <c r="G28" s="8">
        <v>0</v>
      </c>
      <c r="I28" s="9">
        <f t="shared" si="4"/>
        <v>0</v>
      </c>
      <c r="J28" s="10">
        <f t="shared" si="5"/>
        <v>1</v>
      </c>
      <c r="K28" s="10">
        <f>PRODUCT($J$6:J28)</f>
        <v>1</v>
      </c>
      <c r="M28" s="9">
        <f t="shared" si="6"/>
        <v>0</v>
      </c>
      <c r="N28" s="10">
        <f t="shared" si="7"/>
        <v>1</v>
      </c>
      <c r="O28" s="10">
        <f>PRODUCT($N$6:N28)</f>
        <v>1</v>
      </c>
    </row>
    <row r="29" spans="1:15" x14ac:dyDescent="0.3">
      <c r="A29" s="7">
        <v>24</v>
      </c>
      <c r="B29" s="8">
        <v>13</v>
      </c>
      <c r="C29" s="8">
        <v>0</v>
      </c>
      <c r="D29" s="8">
        <v>25</v>
      </c>
      <c r="E29" s="8">
        <v>0</v>
      </c>
      <c r="F29" s="8">
        <v>38</v>
      </c>
      <c r="G29" s="8">
        <v>0</v>
      </c>
      <c r="I29" s="9">
        <f t="shared" si="4"/>
        <v>0</v>
      </c>
      <c r="J29" s="10">
        <f t="shared" si="5"/>
        <v>1</v>
      </c>
      <c r="K29" s="10">
        <f>PRODUCT($J$6:J29)</f>
        <v>1</v>
      </c>
      <c r="M29" s="9">
        <f t="shared" si="6"/>
        <v>0</v>
      </c>
      <c r="N29" s="10">
        <f t="shared" si="7"/>
        <v>1</v>
      </c>
      <c r="O29" s="10">
        <f>PRODUCT($N$6:N29)</f>
        <v>1</v>
      </c>
    </row>
    <row r="30" spans="1:15" x14ac:dyDescent="0.3">
      <c r="A30" s="7">
        <v>25</v>
      </c>
      <c r="B30" s="8">
        <v>13</v>
      </c>
      <c r="C30" s="8">
        <v>0</v>
      </c>
      <c r="D30" s="8">
        <v>25</v>
      </c>
      <c r="E30" s="8">
        <v>0</v>
      </c>
      <c r="F30" s="8">
        <v>38</v>
      </c>
      <c r="G30" s="8">
        <v>0</v>
      </c>
      <c r="I30" s="9">
        <f t="shared" si="4"/>
        <v>0</v>
      </c>
      <c r="J30" s="10">
        <f t="shared" si="5"/>
        <v>1</v>
      </c>
      <c r="K30" s="10">
        <f>PRODUCT($J$6:J30)</f>
        <v>1</v>
      </c>
      <c r="M30" s="9">
        <f t="shared" si="6"/>
        <v>0</v>
      </c>
      <c r="N30" s="10">
        <f t="shared" si="7"/>
        <v>1</v>
      </c>
      <c r="O30" s="10">
        <f>PRODUCT($N$6:N30)</f>
        <v>1</v>
      </c>
    </row>
    <row r="31" spans="1:15" x14ac:dyDescent="0.3">
      <c r="A31" s="7">
        <v>26</v>
      </c>
      <c r="B31" s="8">
        <v>13</v>
      </c>
      <c r="C31" s="8">
        <v>0</v>
      </c>
      <c r="D31" s="8">
        <v>25</v>
      </c>
      <c r="E31" s="8">
        <v>0</v>
      </c>
      <c r="F31" s="8">
        <v>38</v>
      </c>
      <c r="G31" s="8">
        <v>0</v>
      </c>
      <c r="I31" s="9">
        <f t="shared" si="4"/>
        <v>0</v>
      </c>
      <c r="J31" s="10">
        <f t="shared" si="5"/>
        <v>1</v>
      </c>
      <c r="K31" s="10">
        <f>PRODUCT($J$6:J31)</f>
        <v>1</v>
      </c>
      <c r="M31" s="9">
        <f t="shared" si="6"/>
        <v>0</v>
      </c>
      <c r="N31" s="10">
        <f t="shared" si="7"/>
        <v>1</v>
      </c>
      <c r="O31" s="10">
        <f>PRODUCT($N$6:N31)</f>
        <v>1</v>
      </c>
    </row>
    <row r="32" spans="1:15" x14ac:dyDescent="0.3">
      <c r="A32" s="7">
        <v>27</v>
      </c>
      <c r="B32" s="8">
        <v>13</v>
      </c>
      <c r="C32" s="8">
        <v>0</v>
      </c>
      <c r="D32" s="8">
        <v>25</v>
      </c>
      <c r="E32" s="8">
        <v>0</v>
      </c>
      <c r="F32" s="8">
        <v>38</v>
      </c>
      <c r="G32" s="8">
        <v>0</v>
      </c>
      <c r="I32" s="9">
        <f t="shared" si="4"/>
        <v>0</v>
      </c>
      <c r="J32" s="10">
        <f t="shared" si="5"/>
        <v>1</v>
      </c>
      <c r="K32" s="10">
        <f>PRODUCT($J$6:J32)</f>
        <v>1</v>
      </c>
      <c r="M32" s="9">
        <f t="shared" si="6"/>
        <v>0</v>
      </c>
      <c r="N32" s="10">
        <f t="shared" si="7"/>
        <v>1</v>
      </c>
      <c r="O32" s="10">
        <f>PRODUCT($N$6:N32)</f>
        <v>1</v>
      </c>
    </row>
    <row r="33" spans="1:15" x14ac:dyDescent="0.3">
      <c r="A33" s="7">
        <v>28</v>
      </c>
      <c r="B33" s="8">
        <v>7</v>
      </c>
      <c r="C33" s="8">
        <v>0</v>
      </c>
      <c r="D33" s="8">
        <v>25</v>
      </c>
      <c r="E33" s="8">
        <v>0</v>
      </c>
      <c r="F33" s="8">
        <v>32</v>
      </c>
      <c r="G33" s="8">
        <v>0</v>
      </c>
      <c r="I33" s="9">
        <f t="shared" si="4"/>
        <v>0</v>
      </c>
      <c r="J33" s="10">
        <f t="shared" si="5"/>
        <v>1</v>
      </c>
      <c r="K33" s="10">
        <f>PRODUCT($J$6:J33)</f>
        <v>1</v>
      </c>
      <c r="M33" s="9">
        <f t="shared" si="6"/>
        <v>0</v>
      </c>
      <c r="N33" s="10">
        <f t="shared" si="7"/>
        <v>1</v>
      </c>
      <c r="O33" s="10">
        <f>PRODUCT($N$6:N33)</f>
        <v>1</v>
      </c>
    </row>
    <row r="34" spans="1:15" x14ac:dyDescent="0.3">
      <c r="A34" s="7">
        <v>29</v>
      </c>
      <c r="B34" s="8">
        <v>7</v>
      </c>
      <c r="C34" s="8">
        <v>0</v>
      </c>
      <c r="D34" s="8">
        <v>25</v>
      </c>
      <c r="E34" s="8">
        <v>0</v>
      </c>
      <c r="F34" s="8">
        <v>32</v>
      </c>
      <c r="G34" s="8">
        <v>0</v>
      </c>
      <c r="I34" s="9">
        <f t="shared" si="4"/>
        <v>0</v>
      </c>
      <c r="J34" s="10">
        <f t="shared" si="5"/>
        <v>1</v>
      </c>
      <c r="K34" s="10">
        <f>PRODUCT($J$6:J34)</f>
        <v>1</v>
      </c>
      <c r="M34" s="9">
        <f t="shared" si="6"/>
        <v>0</v>
      </c>
      <c r="N34" s="10">
        <f t="shared" si="7"/>
        <v>1</v>
      </c>
      <c r="O34" s="10">
        <f>PRODUCT($N$6:N34)</f>
        <v>1</v>
      </c>
    </row>
    <row r="35" spans="1:15" x14ac:dyDescent="0.3">
      <c r="A35" s="7">
        <v>30</v>
      </c>
      <c r="B35" s="8">
        <v>7</v>
      </c>
      <c r="C35" s="8">
        <v>0</v>
      </c>
      <c r="D35" s="8">
        <v>25</v>
      </c>
      <c r="E35" s="8">
        <v>0</v>
      </c>
      <c r="F35" s="8">
        <v>32</v>
      </c>
      <c r="G35" s="8">
        <v>0</v>
      </c>
      <c r="I35" s="9">
        <f t="shared" si="4"/>
        <v>0</v>
      </c>
      <c r="J35" s="10">
        <f t="shared" si="5"/>
        <v>1</v>
      </c>
      <c r="K35" s="10">
        <f>PRODUCT($J$6:J35)</f>
        <v>1</v>
      </c>
      <c r="M35" s="9">
        <f t="shared" si="6"/>
        <v>0</v>
      </c>
      <c r="N35" s="10">
        <f t="shared" si="7"/>
        <v>1</v>
      </c>
      <c r="O35" s="10">
        <f>PRODUCT($N$6:N35)</f>
        <v>1</v>
      </c>
    </row>
    <row r="36" spans="1:15" x14ac:dyDescent="0.3">
      <c r="A36" s="7">
        <v>31</v>
      </c>
      <c r="B36" s="8">
        <v>7</v>
      </c>
      <c r="C36" s="8">
        <v>0</v>
      </c>
      <c r="D36" s="8">
        <v>25</v>
      </c>
      <c r="E36" s="8">
        <v>0</v>
      </c>
      <c r="F36" s="8">
        <v>32</v>
      </c>
      <c r="G36" s="8">
        <v>0</v>
      </c>
      <c r="I36" s="9">
        <f t="shared" si="4"/>
        <v>0</v>
      </c>
      <c r="J36" s="10">
        <f t="shared" si="5"/>
        <v>1</v>
      </c>
      <c r="K36" s="10">
        <f>PRODUCT($J$6:J36)</f>
        <v>1</v>
      </c>
      <c r="M36" s="9">
        <f t="shared" si="6"/>
        <v>0</v>
      </c>
      <c r="N36" s="10">
        <f t="shared" si="7"/>
        <v>1</v>
      </c>
      <c r="O36" s="10">
        <f>PRODUCT($N$6:N36)</f>
        <v>1</v>
      </c>
    </row>
    <row r="37" spans="1:15" x14ac:dyDescent="0.3">
      <c r="A37" s="7">
        <v>32</v>
      </c>
      <c r="B37" s="8">
        <v>7</v>
      </c>
      <c r="C37" s="8">
        <v>0</v>
      </c>
      <c r="D37" s="8">
        <v>25</v>
      </c>
      <c r="E37" s="8">
        <v>0</v>
      </c>
      <c r="F37" s="8">
        <v>32</v>
      </c>
      <c r="G37" s="8">
        <v>0</v>
      </c>
      <c r="I37" s="9">
        <f t="shared" si="4"/>
        <v>0</v>
      </c>
      <c r="J37" s="10">
        <f t="shared" si="5"/>
        <v>1</v>
      </c>
      <c r="K37" s="10">
        <f>PRODUCT($J$6:J37)</f>
        <v>1</v>
      </c>
      <c r="M37" s="9">
        <f t="shared" si="6"/>
        <v>0</v>
      </c>
      <c r="N37" s="10">
        <f t="shared" si="7"/>
        <v>1</v>
      </c>
      <c r="O37" s="10">
        <f>PRODUCT($N$6:N37)</f>
        <v>1</v>
      </c>
    </row>
    <row r="38" spans="1:15" x14ac:dyDescent="0.3">
      <c r="A38" s="7">
        <v>33</v>
      </c>
      <c r="B38" s="8">
        <v>7</v>
      </c>
      <c r="C38" s="8">
        <v>0</v>
      </c>
      <c r="D38" s="8">
        <v>25</v>
      </c>
      <c r="E38" s="8">
        <v>0</v>
      </c>
      <c r="F38" s="8">
        <v>32</v>
      </c>
      <c r="G38" s="8">
        <v>0</v>
      </c>
      <c r="I38" s="9">
        <f t="shared" si="4"/>
        <v>0</v>
      </c>
      <c r="J38" s="10">
        <f t="shared" si="5"/>
        <v>1</v>
      </c>
      <c r="K38" s="10">
        <f>PRODUCT($J$6:J38)</f>
        <v>1</v>
      </c>
      <c r="M38" s="9">
        <f t="shared" si="6"/>
        <v>0</v>
      </c>
      <c r="N38" s="10">
        <f t="shared" si="7"/>
        <v>1</v>
      </c>
      <c r="O38" s="10">
        <f>PRODUCT($N$6:N38)</f>
        <v>1</v>
      </c>
    </row>
    <row r="39" spans="1:15" x14ac:dyDescent="0.3">
      <c r="A39" s="7">
        <v>34</v>
      </c>
      <c r="B39" s="8">
        <v>7</v>
      </c>
      <c r="C39" s="8">
        <v>0</v>
      </c>
      <c r="D39" s="8">
        <v>25</v>
      </c>
      <c r="E39" s="8">
        <v>0</v>
      </c>
      <c r="F39" s="8">
        <v>32</v>
      </c>
      <c r="G39" s="8">
        <v>0</v>
      </c>
      <c r="I39" s="9">
        <f t="shared" si="4"/>
        <v>0</v>
      </c>
      <c r="J39" s="10">
        <f t="shared" si="5"/>
        <v>1</v>
      </c>
      <c r="K39" s="10">
        <f>PRODUCT($J$6:J39)</f>
        <v>1</v>
      </c>
      <c r="M39" s="9">
        <f t="shared" si="6"/>
        <v>0</v>
      </c>
      <c r="N39" s="10">
        <f t="shared" si="7"/>
        <v>1</v>
      </c>
      <c r="O39" s="10">
        <f>PRODUCT($N$6:N39)</f>
        <v>1</v>
      </c>
    </row>
    <row r="40" spans="1:15" x14ac:dyDescent="0.3">
      <c r="A40" s="7">
        <v>35</v>
      </c>
      <c r="B40" s="8">
        <v>7</v>
      </c>
      <c r="C40" s="8">
        <v>1</v>
      </c>
      <c r="D40" s="8">
        <v>25</v>
      </c>
      <c r="E40" s="8">
        <v>1</v>
      </c>
      <c r="F40" s="8">
        <v>32</v>
      </c>
      <c r="G40" s="8">
        <v>2</v>
      </c>
      <c r="I40" s="9">
        <f t="shared" si="4"/>
        <v>0.14285714285714285</v>
      </c>
      <c r="J40" s="10">
        <f t="shared" si="5"/>
        <v>0.85714285714285721</v>
      </c>
      <c r="K40" s="10">
        <f>PRODUCT($J$6:J40)</f>
        <v>0.85714285714285721</v>
      </c>
      <c r="M40" s="9">
        <f t="shared" si="6"/>
        <v>0.04</v>
      </c>
      <c r="N40" s="10">
        <f t="shared" si="7"/>
        <v>0.96</v>
      </c>
      <c r="O40" s="10">
        <f>PRODUCT($N$6:N40)</f>
        <v>0.96</v>
      </c>
    </row>
    <row r="41" spans="1:15" x14ac:dyDescent="0.3">
      <c r="A41" s="7">
        <v>36</v>
      </c>
      <c r="B41" s="8">
        <v>2</v>
      </c>
      <c r="C41" s="8">
        <v>0</v>
      </c>
      <c r="D41" s="8">
        <v>22</v>
      </c>
      <c r="E41" s="8">
        <v>0</v>
      </c>
      <c r="F41" s="8">
        <v>24</v>
      </c>
      <c r="G41" s="8">
        <v>0</v>
      </c>
      <c r="I41" s="9">
        <f t="shared" si="4"/>
        <v>0</v>
      </c>
      <c r="J41" s="10">
        <f t="shared" si="5"/>
        <v>1</v>
      </c>
      <c r="K41" s="10">
        <f>PRODUCT($J$6:J41)</f>
        <v>0.85714285714285721</v>
      </c>
      <c r="M41" s="9">
        <f t="shared" si="6"/>
        <v>0</v>
      </c>
      <c r="N41" s="10">
        <f t="shared" si="7"/>
        <v>1</v>
      </c>
      <c r="O41" s="10">
        <f>PRODUCT($N$6:N41)</f>
        <v>0.96</v>
      </c>
    </row>
    <row r="42" spans="1:15" x14ac:dyDescent="0.3">
      <c r="A42" s="7">
        <v>37</v>
      </c>
      <c r="B42" s="8">
        <v>2</v>
      </c>
      <c r="C42" s="8">
        <v>0</v>
      </c>
      <c r="D42" s="8">
        <v>13</v>
      </c>
      <c r="E42" s="8">
        <v>0</v>
      </c>
      <c r="F42" s="8">
        <v>15</v>
      </c>
      <c r="G42" s="8">
        <v>0</v>
      </c>
      <c r="I42" s="9">
        <f t="shared" si="4"/>
        <v>0</v>
      </c>
      <c r="J42" s="10">
        <f t="shared" si="5"/>
        <v>1</v>
      </c>
      <c r="K42" s="10">
        <f>PRODUCT($J$6:J42)</f>
        <v>0.85714285714285721</v>
      </c>
      <c r="M42" s="9">
        <f t="shared" si="6"/>
        <v>0</v>
      </c>
      <c r="N42" s="10">
        <f t="shared" si="7"/>
        <v>1</v>
      </c>
      <c r="O42" s="10">
        <f>PRODUCT($N$6:N42)</f>
        <v>0.96</v>
      </c>
    </row>
    <row r="43" spans="1:15" x14ac:dyDescent="0.3">
      <c r="A43" s="7">
        <v>38</v>
      </c>
      <c r="B43" s="8">
        <v>2</v>
      </c>
      <c r="C43" s="8">
        <v>0</v>
      </c>
      <c r="D43" s="8">
        <v>13</v>
      </c>
      <c r="E43" s="8">
        <v>0</v>
      </c>
      <c r="F43" s="8">
        <v>15</v>
      </c>
      <c r="G43" s="8">
        <v>0</v>
      </c>
      <c r="I43" s="9">
        <f t="shared" si="4"/>
        <v>0</v>
      </c>
      <c r="J43" s="10">
        <f t="shared" si="5"/>
        <v>1</v>
      </c>
      <c r="K43" s="10">
        <f>PRODUCT($J$6:J43)</f>
        <v>0.85714285714285721</v>
      </c>
      <c r="M43" s="9">
        <f t="shared" si="6"/>
        <v>0</v>
      </c>
      <c r="N43" s="10">
        <f t="shared" si="7"/>
        <v>1</v>
      </c>
      <c r="O43" s="10">
        <f>PRODUCT($N$6:N43)</f>
        <v>0.96</v>
      </c>
    </row>
    <row r="44" spans="1:15" x14ac:dyDescent="0.3">
      <c r="A44" s="7">
        <v>39</v>
      </c>
      <c r="B44" s="8">
        <v>2</v>
      </c>
      <c r="C44" s="8">
        <v>0</v>
      </c>
      <c r="D44" s="8">
        <v>13</v>
      </c>
      <c r="E44" s="8">
        <v>0</v>
      </c>
      <c r="F44" s="8">
        <v>15</v>
      </c>
      <c r="G44" s="8">
        <v>0</v>
      </c>
      <c r="I44" s="9">
        <f t="shared" si="4"/>
        <v>0</v>
      </c>
      <c r="J44" s="10">
        <f t="shared" si="5"/>
        <v>1</v>
      </c>
      <c r="K44" s="10">
        <f>PRODUCT($J$6:J44)</f>
        <v>0.85714285714285721</v>
      </c>
      <c r="M44" s="9">
        <f t="shared" si="6"/>
        <v>0</v>
      </c>
      <c r="N44" s="10">
        <f t="shared" si="7"/>
        <v>1</v>
      </c>
      <c r="O44" s="10">
        <f>PRODUCT($N$6:N44)</f>
        <v>0.96</v>
      </c>
    </row>
    <row r="45" spans="1:15" x14ac:dyDescent="0.3">
      <c r="A45" s="7">
        <v>40</v>
      </c>
      <c r="B45" s="8">
        <v>2</v>
      </c>
      <c r="C45" s="8">
        <v>0</v>
      </c>
      <c r="D45" s="8">
        <v>13</v>
      </c>
      <c r="E45" s="8">
        <v>0</v>
      </c>
      <c r="F45" s="8">
        <v>15</v>
      </c>
      <c r="G45" s="8">
        <v>0</v>
      </c>
      <c r="I45" s="9">
        <f t="shared" si="4"/>
        <v>0</v>
      </c>
      <c r="J45" s="10">
        <f t="shared" si="5"/>
        <v>1</v>
      </c>
      <c r="K45" s="10">
        <f>PRODUCT($J$6:J45)</f>
        <v>0.85714285714285721</v>
      </c>
      <c r="M45" s="9">
        <f t="shared" si="6"/>
        <v>0</v>
      </c>
      <c r="N45" s="10">
        <f t="shared" si="7"/>
        <v>1</v>
      </c>
      <c r="O45" s="10">
        <f>PRODUCT($N$6:N45)</f>
        <v>0.96</v>
      </c>
    </row>
    <row r="46" spans="1:15" x14ac:dyDescent="0.3">
      <c r="A46" s="7">
        <v>41</v>
      </c>
      <c r="B46" s="8">
        <v>2</v>
      </c>
      <c r="C46" s="8">
        <v>0</v>
      </c>
      <c r="D46" s="8">
        <v>13</v>
      </c>
      <c r="E46" s="8">
        <v>0</v>
      </c>
      <c r="F46" s="8">
        <v>15</v>
      </c>
      <c r="G46" s="8">
        <v>0</v>
      </c>
      <c r="I46" s="9">
        <f t="shared" si="4"/>
        <v>0</v>
      </c>
      <c r="J46" s="10">
        <f t="shared" si="5"/>
        <v>1</v>
      </c>
      <c r="K46" s="10">
        <f>PRODUCT($J$6:J46)</f>
        <v>0.85714285714285721</v>
      </c>
      <c r="M46" s="9">
        <f t="shared" si="6"/>
        <v>0</v>
      </c>
      <c r="N46" s="10">
        <f t="shared" si="7"/>
        <v>1</v>
      </c>
      <c r="O46" s="10">
        <f>PRODUCT($N$6:N46)</f>
        <v>0.96</v>
      </c>
    </row>
    <row r="47" spans="1:15" x14ac:dyDescent="0.3">
      <c r="A47" s="7">
        <v>42</v>
      </c>
      <c r="B47" s="8">
        <v>2</v>
      </c>
      <c r="C47" s="8">
        <v>0</v>
      </c>
      <c r="D47" s="8">
        <v>13</v>
      </c>
      <c r="E47" s="8">
        <v>0</v>
      </c>
      <c r="F47" s="8">
        <v>15</v>
      </c>
      <c r="G47" s="8">
        <v>0</v>
      </c>
      <c r="I47" s="9">
        <f t="shared" si="4"/>
        <v>0</v>
      </c>
      <c r="J47" s="10">
        <f t="shared" si="5"/>
        <v>1</v>
      </c>
      <c r="K47" s="10">
        <f>PRODUCT($J$6:J47)</f>
        <v>0.85714285714285721</v>
      </c>
      <c r="M47" s="9">
        <f t="shared" si="6"/>
        <v>0</v>
      </c>
      <c r="N47" s="10">
        <f t="shared" si="7"/>
        <v>1</v>
      </c>
      <c r="O47" s="10">
        <f>PRODUCT($N$6:N47)</f>
        <v>0.96</v>
      </c>
    </row>
    <row r="48" spans="1:15" x14ac:dyDescent="0.3">
      <c r="A48" s="7">
        <v>43</v>
      </c>
      <c r="B48" s="8">
        <v>2</v>
      </c>
      <c r="C48" s="8">
        <v>0</v>
      </c>
      <c r="D48" s="8">
        <v>13</v>
      </c>
      <c r="E48" s="8">
        <v>0</v>
      </c>
      <c r="F48" s="8">
        <v>15</v>
      </c>
      <c r="G48" s="8">
        <v>0</v>
      </c>
      <c r="I48" s="9">
        <f t="shared" si="4"/>
        <v>0</v>
      </c>
      <c r="J48" s="10">
        <f t="shared" si="5"/>
        <v>1</v>
      </c>
      <c r="K48" s="10">
        <f>PRODUCT($J$6:J48)</f>
        <v>0.85714285714285721</v>
      </c>
      <c r="M48" s="9">
        <f t="shared" si="6"/>
        <v>0</v>
      </c>
      <c r="N48" s="10">
        <f t="shared" si="7"/>
        <v>1</v>
      </c>
      <c r="O48" s="10">
        <f>PRODUCT($N$6:N48)</f>
        <v>0.96</v>
      </c>
    </row>
    <row r="49" spans="1:15" x14ac:dyDescent="0.3">
      <c r="A49" s="7">
        <v>44</v>
      </c>
      <c r="B49" s="8">
        <v>2</v>
      </c>
      <c r="C49" s="8">
        <v>0</v>
      </c>
      <c r="D49" s="8">
        <v>13</v>
      </c>
      <c r="E49" s="8">
        <v>0</v>
      </c>
      <c r="F49" s="8">
        <v>15</v>
      </c>
      <c r="G49" s="8">
        <v>0</v>
      </c>
      <c r="I49" s="9">
        <f t="shared" si="4"/>
        <v>0</v>
      </c>
      <c r="J49" s="10">
        <f t="shared" si="5"/>
        <v>1</v>
      </c>
      <c r="K49" s="10">
        <f>PRODUCT($J$6:J49)</f>
        <v>0.85714285714285721</v>
      </c>
      <c r="M49" s="9">
        <f t="shared" si="6"/>
        <v>0</v>
      </c>
      <c r="N49" s="10">
        <f t="shared" si="7"/>
        <v>1</v>
      </c>
      <c r="O49" s="10">
        <f>PRODUCT($N$6:N49)</f>
        <v>0.96</v>
      </c>
    </row>
    <row r="50" spans="1:15" x14ac:dyDescent="0.3">
      <c r="A50" s="7">
        <v>45</v>
      </c>
      <c r="B50" s="8">
        <v>2</v>
      </c>
      <c r="C50" s="8">
        <v>0</v>
      </c>
      <c r="D50" s="8">
        <v>13</v>
      </c>
      <c r="E50" s="8">
        <v>0</v>
      </c>
      <c r="F50" s="8">
        <v>15</v>
      </c>
      <c r="G50" s="8">
        <v>0</v>
      </c>
      <c r="I50" s="9">
        <f t="shared" si="4"/>
        <v>0</v>
      </c>
      <c r="J50" s="10">
        <f t="shared" si="5"/>
        <v>1</v>
      </c>
      <c r="K50" s="10">
        <f>PRODUCT($J$6:J50)</f>
        <v>0.85714285714285721</v>
      </c>
      <c r="M50" s="9">
        <f t="shared" si="6"/>
        <v>0</v>
      </c>
      <c r="N50" s="10">
        <f t="shared" si="7"/>
        <v>1</v>
      </c>
      <c r="O50" s="10">
        <f>PRODUCT($N$6:N50)</f>
        <v>0.96</v>
      </c>
    </row>
    <row r="51" spans="1:15" x14ac:dyDescent="0.3">
      <c r="A51" s="7">
        <v>46</v>
      </c>
      <c r="B51" s="8">
        <v>2</v>
      </c>
      <c r="C51" s="8">
        <v>0</v>
      </c>
      <c r="D51" s="8">
        <v>13</v>
      </c>
      <c r="E51" s="8">
        <v>0</v>
      </c>
      <c r="F51" s="8">
        <v>15</v>
      </c>
      <c r="G51" s="8">
        <v>0</v>
      </c>
      <c r="I51" s="9">
        <f t="shared" si="4"/>
        <v>0</v>
      </c>
      <c r="J51" s="10">
        <f t="shared" si="5"/>
        <v>1</v>
      </c>
      <c r="K51" s="10">
        <f>PRODUCT($J$6:J51)</f>
        <v>0.85714285714285721</v>
      </c>
      <c r="M51" s="9">
        <f t="shared" si="6"/>
        <v>0</v>
      </c>
      <c r="N51" s="10">
        <f t="shared" si="7"/>
        <v>1</v>
      </c>
      <c r="O51" s="10">
        <f>PRODUCT($N$6:N51)</f>
        <v>0.96</v>
      </c>
    </row>
    <row r="52" spans="1:15" x14ac:dyDescent="0.3">
      <c r="A52" s="7">
        <v>47</v>
      </c>
      <c r="B52" s="8">
        <v>2</v>
      </c>
      <c r="C52" s="8">
        <v>0</v>
      </c>
      <c r="D52" s="8">
        <v>13</v>
      </c>
      <c r="E52" s="8">
        <v>1</v>
      </c>
      <c r="F52" s="8">
        <v>15</v>
      </c>
      <c r="G52" s="8">
        <v>1</v>
      </c>
      <c r="I52" s="9">
        <f t="shared" si="4"/>
        <v>0</v>
      </c>
      <c r="J52" s="10">
        <f t="shared" si="5"/>
        <v>1</v>
      </c>
      <c r="K52" s="10">
        <f>PRODUCT($J$6:J52)</f>
        <v>0.85714285714285721</v>
      </c>
      <c r="M52" s="9">
        <f t="shared" si="6"/>
        <v>7.6923076923076927E-2</v>
      </c>
      <c r="N52" s="10">
        <f t="shared" si="7"/>
        <v>0.92307692307692313</v>
      </c>
      <c r="O52" s="10">
        <f>PRODUCT($N$6:N52)</f>
        <v>0.88615384615384618</v>
      </c>
    </row>
    <row r="53" spans="1:15" x14ac:dyDescent="0.3">
      <c r="A53" s="7">
        <v>48</v>
      </c>
      <c r="B53" s="8">
        <v>2</v>
      </c>
      <c r="C53" s="8">
        <v>0</v>
      </c>
      <c r="D53" s="8">
        <v>9</v>
      </c>
      <c r="E53" s="8">
        <v>0</v>
      </c>
      <c r="F53" s="8">
        <v>11</v>
      </c>
      <c r="G53" s="8">
        <v>0</v>
      </c>
      <c r="I53" s="9">
        <f t="shared" si="4"/>
        <v>0</v>
      </c>
      <c r="J53" s="10">
        <f t="shared" si="5"/>
        <v>1</v>
      </c>
      <c r="K53" s="10">
        <f>PRODUCT($J$6:J53)</f>
        <v>0.85714285714285721</v>
      </c>
      <c r="M53" s="9">
        <f t="shared" si="6"/>
        <v>0</v>
      </c>
      <c r="N53" s="10">
        <f t="shared" si="7"/>
        <v>1</v>
      </c>
      <c r="O53" s="10">
        <f>PRODUCT($N$6:N53)</f>
        <v>0.88615384615384618</v>
      </c>
    </row>
    <row r="54" spans="1:15" x14ac:dyDescent="0.3">
      <c r="A54" s="7">
        <v>49</v>
      </c>
      <c r="B54" s="8">
        <v>2</v>
      </c>
      <c r="C54" s="8">
        <v>0</v>
      </c>
      <c r="D54" s="8">
        <v>9</v>
      </c>
      <c r="E54" s="8">
        <v>0</v>
      </c>
      <c r="F54" s="8">
        <v>11</v>
      </c>
      <c r="G54" s="8">
        <v>0</v>
      </c>
      <c r="I54" s="9">
        <f t="shared" si="4"/>
        <v>0</v>
      </c>
      <c r="J54" s="10">
        <f t="shared" si="5"/>
        <v>1</v>
      </c>
      <c r="K54" s="10">
        <f>PRODUCT($J$6:J54)</f>
        <v>0.85714285714285721</v>
      </c>
      <c r="M54" s="9">
        <f t="shared" si="6"/>
        <v>0</v>
      </c>
      <c r="N54" s="10">
        <f t="shared" si="7"/>
        <v>1</v>
      </c>
      <c r="O54" s="10">
        <f>PRODUCT($N$6:N54)</f>
        <v>0.88615384615384618</v>
      </c>
    </row>
    <row r="55" spans="1:15" x14ac:dyDescent="0.3">
      <c r="A55" s="7">
        <v>50</v>
      </c>
      <c r="B55" s="8">
        <v>2</v>
      </c>
      <c r="C55" s="8">
        <v>0</v>
      </c>
      <c r="D55" s="8">
        <v>1</v>
      </c>
      <c r="E55" s="8">
        <v>0</v>
      </c>
      <c r="F55" s="8">
        <v>3</v>
      </c>
      <c r="G55" s="8">
        <v>0</v>
      </c>
      <c r="I55" s="9">
        <f t="shared" si="4"/>
        <v>0</v>
      </c>
      <c r="J55" s="10">
        <f t="shared" si="5"/>
        <v>1</v>
      </c>
      <c r="K55" s="10">
        <f>PRODUCT($J$6:J55)</f>
        <v>0.85714285714285721</v>
      </c>
      <c r="M55" s="9">
        <f t="shared" si="6"/>
        <v>0</v>
      </c>
      <c r="N55" s="10">
        <f t="shared" si="7"/>
        <v>1</v>
      </c>
      <c r="O55" s="10">
        <f>PRODUCT($N$6:N55)</f>
        <v>0.88615384615384618</v>
      </c>
    </row>
    <row r="56" spans="1:15" x14ac:dyDescent="0.3">
      <c r="A56" s="7">
        <v>51</v>
      </c>
      <c r="B56" s="8">
        <v>2</v>
      </c>
      <c r="C56" s="8">
        <v>0</v>
      </c>
      <c r="D56" s="8">
        <v>1</v>
      </c>
      <c r="E56" s="8">
        <v>0</v>
      </c>
      <c r="F56" s="8">
        <v>3</v>
      </c>
      <c r="G56" s="8">
        <v>0</v>
      </c>
      <c r="I56" s="9">
        <f t="shared" si="4"/>
        <v>0</v>
      </c>
      <c r="J56" s="10">
        <f t="shared" si="5"/>
        <v>1</v>
      </c>
      <c r="K56" s="10">
        <f>PRODUCT($J$6:J56)</f>
        <v>0.85714285714285721</v>
      </c>
      <c r="M56" s="9">
        <f t="shared" si="6"/>
        <v>0</v>
      </c>
      <c r="N56" s="10">
        <f t="shared" si="7"/>
        <v>1</v>
      </c>
      <c r="O56" s="10">
        <f>PRODUCT($N$6:N56)</f>
        <v>0.88615384615384618</v>
      </c>
    </row>
    <row r="57" spans="1:15" x14ac:dyDescent="0.3">
      <c r="A57" s="7">
        <v>52</v>
      </c>
      <c r="B57" s="8">
        <v>2</v>
      </c>
      <c r="C57" s="8">
        <v>0</v>
      </c>
      <c r="D57" s="8">
        <v>1</v>
      </c>
      <c r="E57" s="8">
        <v>0</v>
      </c>
      <c r="F57" s="8">
        <v>3</v>
      </c>
      <c r="G57" s="8">
        <v>0</v>
      </c>
      <c r="I57" s="9">
        <f t="shared" si="4"/>
        <v>0</v>
      </c>
      <c r="J57" s="10">
        <f t="shared" si="5"/>
        <v>1</v>
      </c>
      <c r="K57" s="10">
        <f>PRODUCT($J$6:J57)</f>
        <v>0.85714285714285721</v>
      </c>
      <c r="M57" s="9">
        <f t="shared" si="6"/>
        <v>0</v>
      </c>
      <c r="N57" s="10">
        <f t="shared" si="7"/>
        <v>1</v>
      </c>
      <c r="O57" s="10">
        <f>PRODUCT($N$6:N57)</f>
        <v>0.88615384615384618</v>
      </c>
    </row>
    <row r="58" spans="1:15" x14ac:dyDescent="0.3">
      <c r="A58" s="7">
        <v>53</v>
      </c>
      <c r="B58" s="8">
        <v>2</v>
      </c>
      <c r="C58" s="8">
        <v>0</v>
      </c>
      <c r="D58" s="8">
        <v>1</v>
      </c>
      <c r="E58" s="8">
        <v>0</v>
      </c>
      <c r="F58" s="8">
        <v>3</v>
      </c>
      <c r="G58" s="8">
        <v>0</v>
      </c>
      <c r="I58" s="9">
        <f t="shared" si="4"/>
        <v>0</v>
      </c>
      <c r="J58" s="10">
        <f t="shared" si="5"/>
        <v>1</v>
      </c>
      <c r="K58" s="10">
        <f>PRODUCT($J$6:J58)</f>
        <v>0.85714285714285721</v>
      </c>
      <c r="M58" s="9">
        <f t="shared" si="6"/>
        <v>0</v>
      </c>
      <c r="N58" s="10">
        <f t="shared" si="7"/>
        <v>1</v>
      </c>
      <c r="O58" s="10">
        <f>PRODUCT($N$6:N58)</f>
        <v>0.88615384615384618</v>
      </c>
    </row>
    <row r="59" spans="1:15" x14ac:dyDescent="0.3">
      <c r="A59" s="7">
        <v>54</v>
      </c>
      <c r="B59" s="8">
        <v>2</v>
      </c>
      <c r="C59" s="8">
        <v>0</v>
      </c>
      <c r="D59" s="8">
        <v>1</v>
      </c>
      <c r="E59" s="8">
        <v>0</v>
      </c>
      <c r="F59" s="8">
        <v>3</v>
      </c>
      <c r="G59" s="8">
        <v>0</v>
      </c>
      <c r="I59" s="9">
        <f t="shared" si="4"/>
        <v>0</v>
      </c>
      <c r="J59" s="10">
        <f t="shared" si="5"/>
        <v>1</v>
      </c>
      <c r="K59" s="10">
        <f>PRODUCT($J$6:J59)</f>
        <v>0.85714285714285721</v>
      </c>
      <c r="M59" s="9">
        <f t="shared" si="6"/>
        <v>0</v>
      </c>
      <c r="N59" s="10">
        <f t="shared" si="7"/>
        <v>1</v>
      </c>
      <c r="O59" s="10">
        <f>PRODUCT($N$6:N59)</f>
        <v>0.88615384615384618</v>
      </c>
    </row>
    <row r="60" spans="1:15" x14ac:dyDescent="0.3">
      <c r="A60" s="7">
        <v>55</v>
      </c>
      <c r="B60" s="8">
        <v>2</v>
      </c>
      <c r="C60" s="8">
        <v>0</v>
      </c>
      <c r="D60" s="8">
        <v>1</v>
      </c>
      <c r="E60" s="8">
        <v>0</v>
      </c>
      <c r="F60" s="8">
        <v>3</v>
      </c>
      <c r="G60" s="8">
        <v>0</v>
      </c>
      <c r="I60" s="9">
        <f t="shared" si="4"/>
        <v>0</v>
      </c>
      <c r="J60" s="10">
        <f t="shared" si="5"/>
        <v>1</v>
      </c>
      <c r="K60" s="10">
        <f>PRODUCT($J$6:J60)</f>
        <v>0.85714285714285721</v>
      </c>
      <c r="M60" s="9">
        <f t="shared" si="6"/>
        <v>0</v>
      </c>
      <c r="N60" s="10">
        <f t="shared" si="7"/>
        <v>1</v>
      </c>
      <c r="O60" s="10">
        <f>PRODUCT($N$6:N60)</f>
        <v>0.88615384615384618</v>
      </c>
    </row>
    <row r="61" spans="1:15" x14ac:dyDescent="0.3">
      <c r="A61" s="7">
        <v>56</v>
      </c>
      <c r="B61" s="8">
        <v>2</v>
      </c>
      <c r="C61" s="8">
        <v>0</v>
      </c>
      <c r="D61" s="8">
        <v>1</v>
      </c>
      <c r="E61" s="8">
        <v>1</v>
      </c>
      <c r="F61" s="8">
        <v>3</v>
      </c>
      <c r="G61" s="8">
        <v>1</v>
      </c>
      <c r="I61" s="9">
        <f t="shared" si="4"/>
        <v>0</v>
      </c>
      <c r="J61" s="10">
        <f t="shared" si="5"/>
        <v>1</v>
      </c>
      <c r="K61" s="10">
        <f>PRODUCT($J$6:J61)</f>
        <v>0.85714285714285721</v>
      </c>
      <c r="M61" s="9">
        <f t="shared" si="6"/>
        <v>1</v>
      </c>
      <c r="N61" s="10">
        <f t="shared" si="7"/>
        <v>0</v>
      </c>
      <c r="O61" s="10">
        <f>PRODUCT($N$6:N61)</f>
        <v>0</v>
      </c>
    </row>
    <row r="62" spans="1:15" x14ac:dyDescent="0.3">
      <c r="A62" s="7">
        <v>57</v>
      </c>
      <c r="B62" s="8">
        <v>2</v>
      </c>
      <c r="C62" s="8">
        <v>0</v>
      </c>
      <c r="D62" s="8"/>
      <c r="E62" s="8"/>
      <c r="F62" s="8">
        <v>2</v>
      </c>
      <c r="G62" s="8">
        <v>0</v>
      </c>
      <c r="I62" s="9">
        <f t="shared" si="4"/>
        <v>0</v>
      </c>
      <c r="J62" s="10">
        <f t="shared" si="5"/>
        <v>1</v>
      </c>
      <c r="K62" s="10">
        <f>PRODUCT($J$6:J62)</f>
        <v>0.85714285714285721</v>
      </c>
      <c r="M62" s="9">
        <f t="shared" si="6"/>
        <v>0</v>
      </c>
      <c r="N62" s="10">
        <f t="shared" si="7"/>
        <v>1</v>
      </c>
      <c r="O62" s="10">
        <f>PRODUCT($N$6:N62)</f>
        <v>0</v>
      </c>
    </row>
    <row r="63" spans="1:15" x14ac:dyDescent="0.3">
      <c r="A63" s="7">
        <v>58</v>
      </c>
      <c r="B63" s="8">
        <v>2</v>
      </c>
      <c r="C63" s="8">
        <v>0</v>
      </c>
      <c r="D63" s="8"/>
      <c r="E63" s="8"/>
      <c r="F63" s="8">
        <v>2</v>
      </c>
      <c r="G63" s="8">
        <v>0</v>
      </c>
      <c r="I63" s="9">
        <f t="shared" si="4"/>
        <v>0</v>
      </c>
      <c r="J63" s="10">
        <f t="shared" si="5"/>
        <v>1</v>
      </c>
      <c r="K63" s="10">
        <f>PRODUCT($J$6:J63)</f>
        <v>0.85714285714285721</v>
      </c>
      <c r="M63" s="9">
        <f t="shared" si="6"/>
        <v>0</v>
      </c>
      <c r="N63" s="10">
        <f t="shared" si="7"/>
        <v>1</v>
      </c>
      <c r="O63" s="10">
        <f>PRODUCT($N$6:N63)</f>
        <v>0</v>
      </c>
    </row>
    <row r="64" spans="1:15" x14ac:dyDescent="0.3">
      <c r="A64" s="7">
        <v>59</v>
      </c>
      <c r="B64" s="8">
        <v>2</v>
      </c>
      <c r="C64" s="8">
        <v>0</v>
      </c>
      <c r="D64" s="8"/>
      <c r="E64" s="8"/>
      <c r="F64" s="8">
        <v>2</v>
      </c>
      <c r="G64" s="8">
        <v>0</v>
      </c>
      <c r="I64" s="9">
        <f t="shared" si="4"/>
        <v>0</v>
      </c>
      <c r="J64" s="10">
        <f t="shared" si="5"/>
        <v>1</v>
      </c>
      <c r="K64" s="10">
        <f>PRODUCT($J$6:J64)</f>
        <v>0.85714285714285721</v>
      </c>
      <c r="M64" s="9">
        <f t="shared" si="6"/>
        <v>0</v>
      </c>
      <c r="N64" s="10">
        <f t="shared" si="7"/>
        <v>1</v>
      </c>
      <c r="O64" s="10">
        <f>PRODUCT($N$6:N64)</f>
        <v>0</v>
      </c>
    </row>
    <row r="65" spans="1:7" x14ac:dyDescent="0.3">
      <c r="A65" s="7" t="s">
        <v>51</v>
      </c>
      <c r="B65" s="8">
        <v>645</v>
      </c>
      <c r="C65" s="8">
        <v>1</v>
      </c>
      <c r="D65" s="8">
        <v>1170</v>
      </c>
      <c r="E65" s="8">
        <v>3</v>
      </c>
      <c r="F65" s="8">
        <v>1815</v>
      </c>
      <c r="G65" s="8">
        <v>4</v>
      </c>
    </row>
  </sheetData>
  <phoneticPr fontId="2" type="noConversion"/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A85B1F-4DAA-4898-91CA-FE31964EB5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Raw</vt:lpstr>
      <vt:lpstr>PowerQuery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박상대(Park Sang Dae)</dc:creator>
  <cp:lastModifiedBy>박상대(Park Sang Dae)</cp:lastModifiedBy>
  <dcterms:created xsi:type="dcterms:W3CDTF">2026-04-09T23:03:00Z</dcterms:created>
  <dcterms:modified xsi:type="dcterms:W3CDTF">2026-04-10T05:04:05Z</dcterms:modified>
</cp:coreProperties>
</file>