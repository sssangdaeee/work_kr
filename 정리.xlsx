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park\Desktop\자료\업무\9_Cat XOL\"/>
    </mc:Choice>
  </mc:AlternateContent>
  <xr:revisionPtr revIDLastSave="0" documentId="13_ncr:2001_{D9217E75-02E3-46F9-8F7F-EDE96E14CCCA}" xr6:coauthVersionLast="47" xr6:coauthVersionMax="47" xr10:uidLastSave="{00000000-0000-0000-0000-000000000000}"/>
  <bookViews>
    <workbookView xWindow="28695" yWindow="0" windowWidth="29010" windowHeight="23385" activeTab="1" xr2:uid="{F3BF51D9-05BA-414F-A79E-1AE1651C6401}"/>
  </bookViews>
  <sheets>
    <sheet name="Sheet4" sheetId="4" r:id="rId1"/>
    <sheet name="항공사고" sheetId="1" r:id="rId2"/>
    <sheet name="Deterministic" sheetId="2" r:id="rId3"/>
    <sheet name="Frequency-Severity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4" i="1" l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73" i="1"/>
</calcChain>
</file>

<file path=xl/sharedStrings.xml><?xml version="1.0" encoding="utf-8"?>
<sst xmlns="http://schemas.openxmlformats.org/spreadsheetml/2006/main" count="378" uniqueCount="266">
  <si>
    <t>#</t>
  </si>
  <si>
    <t>시나리오</t>
  </si>
  <si>
    <t>위치 앵커</t>
  </si>
  <si>
    <t>추정 보험 사망자</t>
  </si>
  <si>
    <t>주요 CAT 구조 스트레스</t>
  </si>
  <si>
    <t>1A</t>
  </si>
  <si>
    <t>재래식 테러리즘</t>
  </si>
  <si>
    <t>뉴욕시 금융 지구 / 시카고 루프</t>
  </si>
  <si>
    <t>200–600</t>
  </si>
  <si>
    <t>발생 별 계층</t>
  </si>
  <si>
    <t>1B</t>
  </si>
  <si>
    <t>CBRN 테러리즘</t>
  </si>
  <si>
    <t>뉴욕시/시카고 교통 허브</t>
  </si>
  <si>
    <t>100–1,500</t>
  </si>
  <si>
    <t>사건당 + 문구/제외 적정성</t>
  </si>
  <si>
    <t>비행기 사고</t>
  </si>
  <si>
    <t>주요 미국 비즈니스 노선</t>
  </si>
  <si>
    <t>50–160명 (한 그룹)</t>
  </si>
  <si>
    <t>발생 당시 AOG 하위 한계</t>
  </si>
  <si>
    <t>지진</t>
  </si>
  <si>
    <t>시애틀 CSZ / SF 헤이워드</t>
  </si>
  <si>
    <t>2,000–15,000</t>
  </si>
  <si>
    <t>발생당 발생률 + 연간 총합</t>
  </si>
  <si>
    <t>4A</t>
  </si>
  <si>
    <t>1918년형 팬데믹</t>
  </si>
  <si>
    <t>전국적으로</t>
  </si>
  <si>
    <t>33만 명에서 72만 명이 포함되었다</t>
  </si>
  <si>
    <t>연간 총계 (다년)</t>
  </si>
  <si>
    <t>4B</t>
  </si>
  <si>
    <t>코로나19 유형의 팬데믹</t>
  </si>
  <si>
    <t>2020–2022년 실제 기준</t>
  </si>
  <si>
    <t>연간 총액 + 현금흐름</t>
  </si>
  <si>
    <t>오피스 타워 참사</t>
  </si>
  <si>
    <t>뉴욕 / 시카고 / 휴스턴</t>
  </si>
  <si>
    <t>150–500</t>
  </si>
  <si>
    <t>발생 단위, 단일 그룹</t>
  </si>
  <si>
    <t>5B</t>
  </si>
  <si>
    <t>대규모 집회 / 활성 총격범</t>
  </si>
  <si>
    <t>50–400</t>
  </si>
  <si>
    <t>5A</t>
    <phoneticPr fontId="2" type="noConversion"/>
  </si>
  <si>
    <t>Cat XOL Pricing 방법론</t>
  </si>
  <si>
    <t>├── 1. Experience Rating (경험요율)</t>
  </si>
  <si>
    <t>├── 2. Exposure Rating (노출요율)</t>
  </si>
  <si>
    <t>│   ├── 2a. Deterministic Scenario-Based</t>
  </si>
  <si>
    <t>│   └── 2b. Probabilistic / Stochastic Modeling</t>
  </si>
  <si>
    <t>├── 3. Catastrophe Model 활용</t>
  </si>
  <si>
    <t>│   ├── Terrorism Model</t>
  </si>
  <si>
    <t>│   ├── Pandemic Model</t>
  </si>
  <si>
    <t>│   └── Natural Catastrophe Model</t>
  </si>
  <si>
    <t>└── 4. Benchmarking / Market Pricing</t>
  </si>
  <si>
    <t>구분</t>
    <phoneticPr fontId="2" type="noConversion"/>
  </si>
  <si>
    <t>Natural Peril</t>
    <phoneticPr fontId="2" type="noConversion"/>
  </si>
  <si>
    <t>전염병</t>
    <phoneticPr fontId="2" type="noConversion"/>
  </si>
  <si>
    <t>테러</t>
    <phoneticPr fontId="2" type="noConversion"/>
  </si>
  <si>
    <t>사고</t>
    <phoneticPr fontId="2" type="noConversion"/>
  </si>
  <si>
    <t>지역별 빈도, 심도 산출 가능한지?</t>
    <phoneticPr fontId="2" type="noConversion"/>
  </si>
  <si>
    <t>1) 불가능</t>
    <phoneticPr fontId="2" type="noConversion"/>
  </si>
  <si>
    <t>전 지역 시나리오 별 빈도, 심도 산출</t>
    <phoneticPr fontId="2" type="noConversion"/>
  </si>
  <si>
    <t>1.1) Deterministic</t>
    <phoneticPr fontId="2" type="noConversion"/>
  </si>
  <si>
    <t>지진</t>
    <phoneticPr fontId="2" type="noConversion"/>
  </si>
  <si>
    <t>테러(미사일, 폭파)</t>
    <phoneticPr fontId="2" type="noConversion"/>
  </si>
  <si>
    <t>직접 영향권</t>
    <phoneticPr fontId="2" type="noConversion"/>
  </si>
  <si>
    <t>간접 영향권</t>
    <phoneticPr fontId="2" type="noConversion"/>
  </si>
  <si>
    <t>치사율 가정</t>
    <phoneticPr fontId="2" type="noConversion"/>
  </si>
  <si>
    <t>최소</t>
    <phoneticPr fontId="2" type="noConversion"/>
  </si>
  <si>
    <t>최대</t>
    <phoneticPr fontId="2" type="noConversion"/>
  </si>
  <si>
    <t xml:space="preserve">     </t>
    <phoneticPr fontId="2" type="noConversion"/>
  </si>
  <si>
    <t xml:space="preserve"> </t>
    <phoneticPr fontId="2" type="noConversion"/>
  </si>
  <si>
    <t>2) 가능</t>
    <phoneticPr fontId="2" type="noConversion"/>
  </si>
  <si>
    <t>1.2) 빈도-심도 모델 추정</t>
    <phoneticPr fontId="2" type="noConversion"/>
  </si>
  <si>
    <t>1.2.1) 빈도 모델</t>
    <phoneticPr fontId="2" type="noConversion"/>
  </si>
  <si>
    <t>1.2.2) 심도 모델</t>
    <phoneticPr fontId="2" type="noConversion"/>
  </si>
  <si>
    <t>평균 보험금액</t>
    <phoneticPr fontId="2" type="noConversion"/>
  </si>
  <si>
    <t>Net Volume / Life Lives</t>
    <phoneticPr fontId="2" type="noConversion"/>
  </si>
  <si>
    <t>- 전체, Zip/State 별로 계산</t>
    <phoneticPr fontId="2" type="noConversion"/>
  </si>
  <si>
    <t>연간발생건수, 사건별 사망자수, 공격 유형별 치사율, 역사적 벤치마크 사건, 테러 타겟 유형별 분포</t>
    <phoneticPr fontId="2" type="noConversion"/>
  </si>
  <si>
    <t>연간발생확률(M6.5+역사적발생빈도), 대도시별 지진 시나리오 손해, 빌딩유형별 분괴율, 붕괴 빌딩 내 치사율</t>
    <phoneticPr fontId="2" type="noConversion"/>
  </si>
  <si>
    <t>팬더믹</t>
    <phoneticPr fontId="2" type="noConversion"/>
  </si>
  <si>
    <t>역사적 팬더믹 초과사망률, 팬데믹 발생 주기(역사적 빈도), 조항 포함 여부확인</t>
    <phoneticPr fontId="2" type="noConversion"/>
  </si>
  <si>
    <t>연도별 북미 Cat사건 건수 (Peril별, 최소20~30년)</t>
    <phoneticPr fontId="2" type="noConversion"/>
  </si>
  <si>
    <t>Gross Loss = 영향 받는 피보험자수 * 평균 SA(보험금액) * 치사율 (단, 개인당 Max Any One Life $1M cap 적용)</t>
    <phoneticPr fontId="2" type="noConversion"/>
  </si>
  <si>
    <t>화재, 붕괴</t>
    <phoneticPr fontId="2" type="noConversion"/>
  </si>
  <si>
    <t>집회, 총기난사</t>
    <phoneticPr fontId="2" type="noConversion"/>
  </si>
  <si>
    <t>라스베이거스 / 올랜도 / 주요 컨벤션 도시</t>
    <phoneticPr fontId="2" type="noConversion"/>
  </si>
  <si>
    <t>ASN/NTSB 데이터</t>
    <phoneticPr fontId="2" type="noConversion"/>
  </si>
  <si>
    <t>북미 상업항공 치명적 사고 건수 (연도별, 최근 20~30년)</t>
    <phoneticPr fontId="2" type="noConversion"/>
  </si>
  <si>
    <t>예시 (실제 조사 필요): 2000~2023년 (24년간) 북미 대형 상업항공 치명적 사고: N건 → 연간 평균 = N/24 최근 10년 (2014~2023): M건 → 연간 평균 = M/10 두 값의 가중평균 (최근 데이터 60% 가중): λ_사고 = 0.4 × (N/24) + 0.6 × (M/10)</t>
  </si>
  <si>
    <t>NTSB 원본: 미국 Part 121 승객 사망 사고 전체 목록 (1982~2024)</t>
  </si>
  <si>
    <t>Part 121 = 좌석 9개 초과 대형 상업항공기 운항 기준</t>
  </si>
  <si>
    <t>날짜</t>
  </si>
  <si>
    <t>장소</t>
  </si>
  <si>
    <t>항공사</t>
  </si>
  <si>
    <t>기종</t>
  </si>
  <si>
    <t>승객사망</t>
  </si>
  <si>
    <t>생존</t>
  </si>
  <si>
    <t>1982.01.13</t>
  </si>
  <si>
    <t>Washington, DC</t>
  </si>
  <si>
    <t>Air Florida</t>
  </si>
  <si>
    <t>B737-222</t>
  </si>
  <si>
    <t>1982.01.23</t>
  </si>
  <si>
    <t>Boston, MA</t>
  </si>
  <si>
    <t>World Airways</t>
  </si>
  <si>
    <t>DC-10-30</t>
  </si>
  <si>
    <t>1982.07.09</t>
  </si>
  <si>
    <t>New Orleans, LA</t>
  </si>
  <si>
    <t>Pan American</t>
  </si>
  <si>
    <t>B727-235</t>
  </si>
  <si>
    <t>1982.11.08</t>
  </si>
  <si>
    <t>Honolulu, HI</t>
  </si>
  <si>
    <t>B747-100</t>
  </si>
  <si>
    <t>1983.01.09</t>
  </si>
  <si>
    <t>Brainerd, MN</t>
  </si>
  <si>
    <t>Republic Airlines</t>
  </si>
  <si>
    <t>Convair 580</t>
  </si>
  <si>
    <t>1983.10.11</t>
  </si>
  <si>
    <t>Pinckneyville, IL</t>
  </si>
  <si>
    <t>Air Illinois</t>
  </si>
  <si>
    <t>HS-748</t>
  </si>
  <si>
    <t>1985.01.01</t>
  </si>
  <si>
    <t>La Paz, Bolivia</t>
  </si>
  <si>
    <t>Eastern Air Lines</t>
  </si>
  <si>
    <t>B727-225</t>
  </si>
  <si>
    <t>1985.01.21</t>
  </si>
  <si>
    <t>Reno, NV</t>
  </si>
  <si>
    <t>Galaxy Airlines</t>
  </si>
  <si>
    <t>L-188C</t>
  </si>
  <si>
    <t>1985.08.02</t>
  </si>
  <si>
    <t>Dallas/Ft Worth, TX</t>
  </si>
  <si>
    <t>Delta Airlines</t>
  </si>
  <si>
    <t>L-1011</t>
  </si>
  <si>
    <t>1985.09.06</t>
  </si>
  <si>
    <t>Milwaukee, WI</t>
  </si>
  <si>
    <t>Midwest Express</t>
  </si>
  <si>
    <t>DC-9-14</t>
  </si>
  <si>
    <t>1985.12.12</t>
  </si>
  <si>
    <t>Gander, Newfoundland</t>
  </si>
  <si>
    <t>Arrow Airways</t>
  </si>
  <si>
    <t>DC-8-63</t>
  </si>
  <si>
    <t>1986.02.04</t>
  </si>
  <si>
    <t>Near Athens, Greece</t>
  </si>
  <si>
    <t>TWA</t>
  </si>
  <si>
    <t>B727-231</t>
  </si>
  <si>
    <t>1987.02.14</t>
  </si>
  <si>
    <t>Durango, Mexico</t>
  </si>
  <si>
    <t>Ports of Call</t>
  </si>
  <si>
    <t>B707</t>
  </si>
  <si>
    <t>1987.08.16</t>
  </si>
  <si>
    <t>Romulus, MI</t>
  </si>
  <si>
    <t>Northwest Airlines</t>
  </si>
  <si>
    <t>DC-9-82</t>
  </si>
  <si>
    <t>1987.11.15</t>
  </si>
  <si>
    <t>Denver, CO</t>
  </si>
  <si>
    <t>Continental Airlines</t>
  </si>
  <si>
    <t>1987.12.07</t>
  </si>
  <si>
    <t>San Luis Obispo, CA</t>
  </si>
  <si>
    <t>Pacific SW Airlines</t>
  </si>
  <si>
    <t>BAe-146</t>
  </si>
  <si>
    <t>1988.08.31</t>
  </si>
  <si>
    <t>B727-232</t>
  </si>
  <si>
    <t>1988.12.21</t>
  </si>
  <si>
    <t>Lockerbie, Scotland</t>
  </si>
  <si>
    <t>B747-121</t>
  </si>
  <si>
    <t>1989.02.08</t>
  </si>
  <si>
    <t>Santa Maria, Azores</t>
  </si>
  <si>
    <t>Independent Air</t>
  </si>
  <si>
    <t>1989.02.24</t>
  </si>
  <si>
    <t>United Airlines</t>
  </si>
  <si>
    <t>B747-122</t>
  </si>
  <si>
    <t>1989.07.19</t>
  </si>
  <si>
    <t>Sioux City, IA</t>
  </si>
  <si>
    <t>DC-10-10</t>
  </si>
  <si>
    <t>1989.09.20</t>
  </si>
  <si>
    <t>Flushing, NY</t>
  </si>
  <si>
    <t>USAir</t>
  </si>
  <si>
    <t>B737-400</t>
  </si>
  <si>
    <t>1989.12.27</t>
  </si>
  <si>
    <t>Miami, FL</t>
  </si>
  <si>
    <t>B727-225B</t>
  </si>
  <si>
    <t>1990.10.03</t>
  </si>
  <si>
    <t>Cape Canaveral, FL</t>
  </si>
  <si>
    <t>DC-9-31</t>
  </si>
  <si>
    <t>1990.12.03</t>
  </si>
  <si>
    <t>1991.02.01</t>
  </si>
  <si>
    <t>Los Angeles, CA</t>
  </si>
  <si>
    <t>B737-300</t>
  </si>
  <si>
    <t>1991.03.03</t>
  </si>
  <si>
    <t>Colorado Springs, CO</t>
  </si>
  <si>
    <t>B737-291</t>
  </si>
  <si>
    <t>1992.03.22</t>
  </si>
  <si>
    <t>Fokker 28</t>
  </si>
  <si>
    <t>1994.07.02</t>
  </si>
  <si>
    <t>Charlotte, NC</t>
  </si>
  <si>
    <t>DC-9-30</t>
  </si>
  <si>
    <t>1994.09.08</t>
  </si>
  <si>
    <t>Aliquippa, PA</t>
  </si>
  <si>
    <t>1994.10.31</t>
  </si>
  <si>
    <t>Roselawn, IN</t>
  </si>
  <si>
    <t>American Eagle</t>
  </si>
  <si>
    <t>ATR-72</t>
  </si>
  <si>
    <t>1995.12.20</t>
  </si>
  <si>
    <t>Cali, Colombia</t>
  </si>
  <si>
    <t>American Airlines</t>
  </si>
  <si>
    <t>B757</t>
  </si>
  <si>
    <t>1996.05.11</t>
  </si>
  <si>
    <t>ValuJet Airlines</t>
  </si>
  <si>
    <t>DC-9</t>
  </si>
  <si>
    <t>1996.07.06</t>
  </si>
  <si>
    <t>Pensacola, FL</t>
  </si>
  <si>
    <t>MD-88</t>
  </si>
  <si>
    <t>1996.07.17</t>
  </si>
  <si>
    <t>Moriches, NY</t>
  </si>
  <si>
    <t>B747</t>
  </si>
  <si>
    <t>1997.08.02</t>
  </si>
  <si>
    <t>Lima, Peru</t>
  </si>
  <si>
    <t>B757-200</t>
  </si>
  <si>
    <t>1997.12.28</t>
  </si>
  <si>
    <t>Pacific Ocean</t>
  </si>
  <si>
    <t>1999.06.01</t>
  </si>
  <si>
    <t>Little Rock, AR</t>
  </si>
  <si>
    <t>MD-80</t>
  </si>
  <si>
    <t>2000.01.31</t>
  </si>
  <si>
    <t>Point Mugu, CA</t>
  </si>
  <si>
    <t>Alaska Airlines</t>
  </si>
  <si>
    <t>MD-83</t>
  </si>
  <si>
    <t>2001.09.11</t>
  </si>
  <si>
    <t>New York City, NY</t>
  </si>
  <si>
    <t>B767-200</t>
  </si>
  <si>
    <t>Arlington, VA</t>
  </si>
  <si>
    <t>Shanksville, PA</t>
  </si>
  <si>
    <t>2001.11.12</t>
  </si>
  <si>
    <t>Belle Harbor, NY</t>
  </si>
  <si>
    <t>A300-600</t>
  </si>
  <si>
    <t>2003.01.08</t>
  </si>
  <si>
    <t>US Airways Express</t>
  </si>
  <si>
    <t>Beech 1900</t>
  </si>
  <si>
    <t>2004.10.19</t>
  </si>
  <si>
    <t>Kirksville, MO</t>
  </si>
  <si>
    <t>Corporate Airlines</t>
  </si>
  <si>
    <t>Jetstream 32</t>
  </si>
  <si>
    <t>2005.12.19</t>
  </si>
  <si>
    <t>Chalks Ocean Airways</t>
  </si>
  <si>
    <t>Grumman G-73T</t>
  </si>
  <si>
    <t>2006.08.27</t>
  </si>
  <si>
    <t>Lexington, KY</t>
  </si>
  <si>
    <t>Comair</t>
  </si>
  <si>
    <t>CRJ-100</t>
  </si>
  <si>
    <t>2009.02.12</t>
  </si>
  <si>
    <t>Clarence, NY</t>
  </si>
  <si>
    <t>Colgan Air</t>
  </si>
  <si>
    <t>DHC-8</t>
  </si>
  <si>
    <t>대형기(50석+) 한정 집계</t>
  </si>
  <si>
    <t>Cat XOL 관점에서 의미 있는 손해(Retention 초과 가능성)를 위해 사망자 50명 이상 사고만 추립니다.</t>
  </si>
  <si>
    <t>치사율</t>
  </si>
  <si>
    <t>비고</t>
  </si>
  <si>
    <t>B727</t>
  </si>
  <si>
    <t>전손</t>
  </si>
  <si>
    <t>부분생존</t>
  </si>
  <si>
    <t>DC-8</t>
  </si>
  <si>
    <t>폭파(테러)</t>
  </si>
  <si>
    <t>DC-10</t>
  </si>
  <si>
    <t>B737</t>
  </si>
  <si>
    <t>ValuJet</t>
  </si>
  <si>
    <t>폭파 의심</t>
  </si>
  <si>
    <t>A300</t>
  </si>
  <si>
    <t>포트폴리오 손해(X) = N 탑승 * SA 평균 * 치사율</t>
    <phoneticPr fontId="2" type="noConversion"/>
  </si>
  <si>
    <t>탑승자수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</si>
</sst>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9" fontId="0" fillId="0" borderId="0" xfId="0" applyNumberForma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>
      <alignment vertical="center"/>
    </xf>
    <xf numFmtId="9" fontId="0" fillId="0" borderId="0" xfId="0" applyNumberFormat="1" applyAlignment="1">
      <alignment horizontal="center" vertical="center" wrapText="1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D9B0-D1BE-41AB-913D-79B1267B63E4}">
  <dimension ref="B2:H74"/>
  <sheetViews>
    <sheetView zoomScaleNormal="100" workbookViewId="0">
      <selection activeCell="D13" sqref="D13"/>
    </sheetView>
  </sheetViews>
  <sheetFormatPr defaultRowHeight="16.5" x14ac:dyDescent="0.3"/>
  <cols>
    <col min="1" max="1" width="4.75" customWidth="1"/>
    <col min="2" max="2" width="5.25" customWidth="1"/>
    <col min="3" max="3" width="25" bestFit="1" customWidth="1"/>
    <col min="4" max="4" width="39.625" bestFit="1" customWidth="1"/>
    <col min="5" max="5" width="32.75" bestFit="1" customWidth="1"/>
    <col min="6" max="6" width="25.75" bestFit="1" customWidth="1"/>
  </cols>
  <sheetData>
    <row r="2" spans="2:7" x14ac:dyDescent="0.3">
      <c r="B2" s="2" t="s">
        <v>40</v>
      </c>
    </row>
    <row r="3" spans="2:7" x14ac:dyDescent="0.3">
      <c r="B3" t="s">
        <v>41</v>
      </c>
    </row>
    <row r="4" spans="2:7" x14ac:dyDescent="0.3">
      <c r="B4" s="1" t="s">
        <v>42</v>
      </c>
      <c r="C4" s="1"/>
      <c r="D4" s="1"/>
      <c r="E4" s="1"/>
      <c r="F4" s="1"/>
    </row>
    <row r="5" spans="2:7" x14ac:dyDescent="0.3">
      <c r="B5" s="1" t="s">
        <v>43</v>
      </c>
      <c r="C5" s="1"/>
      <c r="D5" s="1"/>
      <c r="E5" s="1"/>
      <c r="F5" s="1"/>
    </row>
    <row r="6" spans="2:7" x14ac:dyDescent="0.3">
      <c r="B6" s="1" t="s">
        <v>44</v>
      </c>
      <c r="C6" s="1"/>
      <c r="D6" s="1"/>
      <c r="E6" s="1"/>
      <c r="F6" s="1"/>
    </row>
    <row r="7" spans="2:7" x14ac:dyDescent="0.3">
      <c r="B7" t="s">
        <v>45</v>
      </c>
    </row>
    <row r="8" spans="2:7" x14ac:dyDescent="0.3">
      <c r="B8" t="s">
        <v>46</v>
      </c>
    </row>
    <row r="9" spans="2:7" x14ac:dyDescent="0.3">
      <c r="B9" t="s">
        <v>47</v>
      </c>
    </row>
    <row r="10" spans="2:7" x14ac:dyDescent="0.3">
      <c r="B10" t="s">
        <v>48</v>
      </c>
    </row>
    <row r="11" spans="2:7" x14ac:dyDescent="0.3">
      <c r="B11" t="s">
        <v>49</v>
      </c>
    </row>
    <row r="14" spans="2:7" x14ac:dyDescent="0.3">
      <c r="B14" s="4" t="s">
        <v>0</v>
      </c>
      <c r="C14" t="s">
        <v>50</v>
      </c>
      <c r="D14" s="2" t="s">
        <v>1</v>
      </c>
      <c r="E14" s="2" t="s">
        <v>2</v>
      </c>
      <c r="F14" s="2" t="s">
        <v>3</v>
      </c>
      <c r="G14" s="2" t="s">
        <v>4</v>
      </c>
    </row>
    <row r="15" spans="2:7" x14ac:dyDescent="0.3">
      <c r="B15" s="3">
        <v>3</v>
      </c>
      <c r="C15" t="s">
        <v>51</v>
      </c>
      <c r="D15" t="s">
        <v>19</v>
      </c>
      <c r="E15" t="s">
        <v>20</v>
      </c>
      <c r="F15" t="s">
        <v>21</v>
      </c>
      <c r="G15" t="s">
        <v>22</v>
      </c>
    </row>
    <row r="16" spans="2:7" x14ac:dyDescent="0.3">
      <c r="B16" s="3"/>
    </row>
    <row r="17" spans="2:7" x14ac:dyDescent="0.3">
      <c r="B17" s="3" t="s">
        <v>23</v>
      </c>
      <c r="C17" t="s">
        <v>52</v>
      </c>
      <c r="D17" t="s">
        <v>24</v>
      </c>
      <c r="E17" t="s">
        <v>25</v>
      </c>
      <c r="F17" t="s">
        <v>26</v>
      </c>
      <c r="G17" t="s">
        <v>27</v>
      </c>
    </row>
    <row r="18" spans="2:7" x14ac:dyDescent="0.3">
      <c r="B18" s="3" t="s">
        <v>28</v>
      </c>
      <c r="C18" t="s">
        <v>52</v>
      </c>
      <c r="D18" t="s">
        <v>29</v>
      </c>
      <c r="E18" t="s">
        <v>25</v>
      </c>
      <c r="F18" t="s">
        <v>30</v>
      </c>
      <c r="G18" t="s">
        <v>31</v>
      </c>
    </row>
    <row r="19" spans="2:7" x14ac:dyDescent="0.3">
      <c r="B19" s="3"/>
    </row>
    <row r="20" spans="2:7" x14ac:dyDescent="0.3">
      <c r="B20" s="3" t="s">
        <v>5</v>
      </c>
      <c r="C20" t="s">
        <v>53</v>
      </c>
      <c r="D20" t="s">
        <v>6</v>
      </c>
      <c r="E20" t="s">
        <v>7</v>
      </c>
      <c r="F20" t="s">
        <v>8</v>
      </c>
      <c r="G20" t="s">
        <v>9</v>
      </c>
    </row>
    <row r="21" spans="2:7" x14ac:dyDescent="0.3">
      <c r="B21" s="3" t="s">
        <v>10</v>
      </c>
      <c r="C21" t="s">
        <v>53</v>
      </c>
      <c r="D21" t="s">
        <v>11</v>
      </c>
      <c r="E21" t="s">
        <v>12</v>
      </c>
      <c r="F21" t="s">
        <v>13</v>
      </c>
      <c r="G21" t="s">
        <v>14</v>
      </c>
    </row>
    <row r="22" spans="2:7" x14ac:dyDescent="0.3">
      <c r="B22" s="3" t="s">
        <v>39</v>
      </c>
      <c r="C22" t="s">
        <v>81</v>
      </c>
      <c r="D22" t="s">
        <v>32</v>
      </c>
      <c r="E22" t="s">
        <v>33</v>
      </c>
      <c r="F22" t="s">
        <v>34</v>
      </c>
      <c r="G22" t="s">
        <v>35</v>
      </c>
    </row>
    <row r="23" spans="2:7" x14ac:dyDescent="0.3">
      <c r="B23" s="3" t="s">
        <v>36</v>
      </c>
      <c r="C23" t="s">
        <v>82</v>
      </c>
      <c r="D23" t="s">
        <v>37</v>
      </c>
      <c r="E23" t="s">
        <v>83</v>
      </c>
      <c r="F23" t="s">
        <v>38</v>
      </c>
      <c r="G23" t="s">
        <v>35</v>
      </c>
    </row>
    <row r="24" spans="2:7" x14ac:dyDescent="0.3">
      <c r="B24" s="3"/>
    </row>
    <row r="25" spans="2:7" x14ac:dyDescent="0.3">
      <c r="B25" s="3">
        <v>2</v>
      </c>
      <c r="C25" t="s">
        <v>54</v>
      </c>
      <c r="D25" t="s">
        <v>15</v>
      </c>
      <c r="E25" t="s">
        <v>16</v>
      </c>
      <c r="F25" t="s">
        <v>17</v>
      </c>
      <c r="G25" t="s">
        <v>18</v>
      </c>
    </row>
    <row r="26" spans="2:7" x14ac:dyDescent="0.3">
      <c r="B26" s="3"/>
    </row>
    <row r="27" spans="2:7" x14ac:dyDescent="0.3">
      <c r="B27" s="3"/>
    </row>
    <row r="28" spans="2:7" x14ac:dyDescent="0.3">
      <c r="B28" s="5" t="s">
        <v>55</v>
      </c>
    </row>
    <row r="30" spans="2:7" x14ac:dyDescent="0.3">
      <c r="B30" t="s">
        <v>56</v>
      </c>
    </row>
    <row r="32" spans="2:7" x14ac:dyDescent="0.3">
      <c r="B32" t="s">
        <v>57</v>
      </c>
    </row>
    <row r="34" spans="2:8" x14ac:dyDescent="0.3">
      <c r="B34" t="s">
        <v>58</v>
      </c>
      <c r="E34" t="s">
        <v>64</v>
      </c>
      <c r="F34" t="s">
        <v>65</v>
      </c>
    </row>
    <row r="35" spans="2:8" x14ac:dyDescent="0.3">
      <c r="C35" t="s">
        <v>59</v>
      </c>
      <c r="E35" s="6">
        <v>0.2</v>
      </c>
      <c r="F35" s="6">
        <v>0.4</v>
      </c>
      <c r="H35" t="s">
        <v>76</v>
      </c>
    </row>
    <row r="37" spans="2:8" x14ac:dyDescent="0.3">
      <c r="E37" t="s">
        <v>63</v>
      </c>
    </row>
    <row r="38" spans="2:8" x14ac:dyDescent="0.3">
      <c r="E38" t="s">
        <v>64</v>
      </c>
      <c r="F38" t="s">
        <v>65</v>
      </c>
    </row>
    <row r="39" spans="2:8" x14ac:dyDescent="0.3">
      <c r="C39" t="s">
        <v>60</v>
      </c>
      <c r="D39" t="s">
        <v>61</v>
      </c>
      <c r="E39" s="6">
        <v>0.8</v>
      </c>
      <c r="F39" s="6">
        <v>0.95</v>
      </c>
      <c r="H39" t="s">
        <v>75</v>
      </c>
    </row>
    <row r="40" spans="2:8" x14ac:dyDescent="0.3">
      <c r="D40" t="s">
        <v>62</v>
      </c>
      <c r="E40" s="6">
        <v>0.2</v>
      </c>
      <c r="F40" s="6">
        <v>0.4</v>
      </c>
    </row>
    <row r="41" spans="2:8" x14ac:dyDescent="0.3">
      <c r="E41" s="6"/>
      <c r="F41" s="6"/>
    </row>
    <row r="43" spans="2:8" x14ac:dyDescent="0.3">
      <c r="C43" t="s">
        <v>67</v>
      </c>
    </row>
    <row r="44" spans="2:8" x14ac:dyDescent="0.3">
      <c r="C44" t="s">
        <v>54</v>
      </c>
    </row>
    <row r="45" spans="2:8" x14ac:dyDescent="0.3">
      <c r="D45" t="s">
        <v>66</v>
      </c>
    </row>
    <row r="46" spans="2:8" x14ac:dyDescent="0.3">
      <c r="C46" t="s">
        <v>77</v>
      </c>
      <c r="H46" t="s">
        <v>78</v>
      </c>
    </row>
    <row r="49" spans="2:4" x14ac:dyDescent="0.3">
      <c r="C49" t="s">
        <v>72</v>
      </c>
      <c r="D49" t="s">
        <v>73</v>
      </c>
    </row>
    <row r="50" spans="2:4" x14ac:dyDescent="0.3">
      <c r="C50" s="7" t="s">
        <v>74</v>
      </c>
    </row>
    <row r="51" spans="2:4" x14ac:dyDescent="0.3">
      <c r="C51" s="7"/>
    </row>
    <row r="52" spans="2:4" x14ac:dyDescent="0.3">
      <c r="C52" s="7" t="s">
        <v>79</v>
      </c>
    </row>
    <row r="53" spans="2:4" x14ac:dyDescent="0.3">
      <c r="C53" s="7"/>
    </row>
    <row r="54" spans="2:4" x14ac:dyDescent="0.3">
      <c r="C54" s="7" t="s">
        <v>80</v>
      </c>
    </row>
    <row r="55" spans="2:4" x14ac:dyDescent="0.3">
      <c r="C55" s="7"/>
    </row>
    <row r="56" spans="2:4" x14ac:dyDescent="0.3">
      <c r="C56" s="7"/>
    </row>
    <row r="58" spans="2:4" x14ac:dyDescent="0.3">
      <c r="C58" t="s">
        <v>67</v>
      </c>
    </row>
    <row r="59" spans="2:4" x14ac:dyDescent="0.3">
      <c r="B59" t="s">
        <v>69</v>
      </c>
    </row>
    <row r="61" spans="2:4" x14ac:dyDescent="0.3">
      <c r="C61" t="s">
        <v>70</v>
      </c>
    </row>
    <row r="65" spans="2:3" x14ac:dyDescent="0.3">
      <c r="C65" t="s">
        <v>71</v>
      </c>
    </row>
    <row r="68" spans="2:3" x14ac:dyDescent="0.3">
      <c r="C68" t="s">
        <v>67</v>
      </c>
    </row>
    <row r="74" spans="2:3" x14ac:dyDescent="0.3">
      <c r="B74" t="s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2AE6-9BE0-407A-965A-A7B09542C0D1}">
  <dimension ref="C3:J93"/>
  <sheetViews>
    <sheetView tabSelected="1" topLeftCell="A33" zoomScale="85" zoomScaleNormal="85" workbookViewId="0">
      <selection activeCell="E52" sqref="E52"/>
    </sheetView>
  </sheetViews>
  <sheetFormatPr defaultRowHeight="16.5" x14ac:dyDescent="0.3"/>
  <cols>
    <col min="2" max="2" width="3.75" bestFit="1" customWidth="1"/>
    <col min="3" max="3" width="25" bestFit="1" customWidth="1"/>
    <col min="4" max="4" width="39.625" bestFit="1" customWidth="1"/>
    <col min="5" max="5" width="32.75" bestFit="1" customWidth="1"/>
    <col min="6" max="6" width="25.75" bestFit="1" customWidth="1"/>
    <col min="8" max="9" width="15.375" customWidth="1"/>
  </cols>
  <sheetData>
    <row r="3" spans="3:8" x14ac:dyDescent="0.3">
      <c r="C3" t="s">
        <v>84</v>
      </c>
    </row>
    <row r="5" spans="3:8" x14ac:dyDescent="0.3">
      <c r="C5" t="s">
        <v>85</v>
      </c>
    </row>
    <row r="8" spans="3:8" x14ac:dyDescent="0.3">
      <c r="C8" t="s">
        <v>86</v>
      </c>
    </row>
    <row r="12" spans="3:8" ht="21.75" x14ac:dyDescent="0.3">
      <c r="C12" s="8" t="s">
        <v>87</v>
      </c>
    </row>
    <row r="13" spans="3:8" x14ac:dyDescent="0.3">
      <c r="C13" s="9"/>
    </row>
    <row r="14" spans="3:8" x14ac:dyDescent="0.3">
      <c r="C14" s="9" t="s">
        <v>88</v>
      </c>
    </row>
    <row r="16" spans="3:8" x14ac:dyDescent="0.3">
      <c r="C16" s="11" t="s">
        <v>89</v>
      </c>
      <c r="D16" s="11" t="s">
        <v>90</v>
      </c>
      <c r="E16" s="11" t="s">
        <v>91</v>
      </c>
      <c r="F16" s="11" t="s">
        <v>92</v>
      </c>
      <c r="G16" s="11" t="s">
        <v>93</v>
      </c>
      <c r="H16" s="11" t="s">
        <v>94</v>
      </c>
    </row>
    <row r="17" spans="3:8" x14ac:dyDescent="0.3">
      <c r="C17" s="12" t="s">
        <v>95</v>
      </c>
      <c r="D17" s="12" t="s">
        <v>96</v>
      </c>
      <c r="E17" s="12" t="s">
        <v>97</v>
      </c>
      <c r="F17" s="12" t="s">
        <v>98</v>
      </c>
      <c r="G17" s="11">
        <v>70</v>
      </c>
      <c r="H17" s="10">
        <v>4</v>
      </c>
    </row>
    <row r="18" spans="3:8" x14ac:dyDescent="0.3">
      <c r="C18" s="12" t="s">
        <v>99</v>
      </c>
      <c r="D18" s="12" t="s">
        <v>100</v>
      </c>
      <c r="E18" s="12" t="s">
        <v>101</v>
      </c>
      <c r="F18" s="12" t="s">
        <v>102</v>
      </c>
      <c r="G18" s="10">
        <v>2</v>
      </c>
      <c r="H18" s="10">
        <v>198</v>
      </c>
    </row>
    <row r="19" spans="3:8" x14ac:dyDescent="0.3">
      <c r="C19" s="12" t="s">
        <v>103</v>
      </c>
      <c r="D19" s="12" t="s">
        <v>104</v>
      </c>
      <c r="E19" s="12" t="s">
        <v>105</v>
      </c>
      <c r="F19" s="12" t="s">
        <v>106</v>
      </c>
      <c r="G19" s="11">
        <v>137</v>
      </c>
      <c r="H19" s="10">
        <v>0</v>
      </c>
    </row>
    <row r="20" spans="3:8" x14ac:dyDescent="0.3">
      <c r="C20" s="12" t="s">
        <v>107</v>
      </c>
      <c r="D20" s="12" t="s">
        <v>108</v>
      </c>
      <c r="E20" s="12" t="s">
        <v>105</v>
      </c>
      <c r="F20" s="12" t="s">
        <v>109</v>
      </c>
      <c r="G20" s="10">
        <v>1</v>
      </c>
      <c r="H20" s="10">
        <v>274</v>
      </c>
    </row>
    <row r="21" spans="3:8" x14ac:dyDescent="0.3">
      <c r="C21" s="12" t="s">
        <v>110</v>
      </c>
      <c r="D21" s="12" t="s">
        <v>111</v>
      </c>
      <c r="E21" s="12" t="s">
        <v>112</v>
      </c>
      <c r="F21" s="12" t="s">
        <v>113</v>
      </c>
      <c r="G21" s="10">
        <v>1</v>
      </c>
      <c r="H21" s="10">
        <v>29</v>
      </c>
    </row>
    <row r="22" spans="3:8" x14ac:dyDescent="0.3">
      <c r="C22" s="12" t="s">
        <v>114</v>
      </c>
      <c r="D22" s="12" t="s">
        <v>115</v>
      </c>
      <c r="E22" s="12" t="s">
        <v>116</v>
      </c>
      <c r="F22" s="12" t="s">
        <v>117</v>
      </c>
      <c r="G22" s="10">
        <v>7</v>
      </c>
      <c r="H22" s="10">
        <v>0</v>
      </c>
    </row>
    <row r="23" spans="3:8" x14ac:dyDescent="0.3">
      <c r="C23" s="12" t="s">
        <v>118</v>
      </c>
      <c r="D23" s="12" t="s">
        <v>119</v>
      </c>
      <c r="E23" s="12" t="s">
        <v>120</v>
      </c>
      <c r="F23" s="12" t="s">
        <v>121</v>
      </c>
      <c r="G23" s="10">
        <v>21</v>
      </c>
      <c r="H23" s="10">
        <v>0</v>
      </c>
    </row>
    <row r="24" spans="3:8" x14ac:dyDescent="0.3">
      <c r="C24" s="12" t="s">
        <v>122</v>
      </c>
      <c r="D24" s="12" t="s">
        <v>123</v>
      </c>
      <c r="E24" s="12" t="s">
        <v>124</v>
      </c>
      <c r="F24" s="12" t="s">
        <v>125</v>
      </c>
      <c r="G24" s="11">
        <v>64</v>
      </c>
      <c r="H24" s="10">
        <v>1</v>
      </c>
    </row>
    <row r="25" spans="3:8" x14ac:dyDescent="0.3">
      <c r="C25" s="12" t="s">
        <v>126</v>
      </c>
      <c r="D25" s="12" t="s">
        <v>127</v>
      </c>
      <c r="E25" s="12" t="s">
        <v>128</v>
      </c>
      <c r="F25" s="12" t="s">
        <v>129</v>
      </c>
      <c r="G25" s="11">
        <v>126</v>
      </c>
      <c r="H25" s="10">
        <v>26</v>
      </c>
    </row>
    <row r="26" spans="3:8" x14ac:dyDescent="0.3">
      <c r="C26" s="12" t="s">
        <v>130</v>
      </c>
      <c r="D26" s="12" t="s">
        <v>131</v>
      </c>
      <c r="E26" s="12" t="s">
        <v>132</v>
      </c>
      <c r="F26" s="12" t="s">
        <v>133</v>
      </c>
      <c r="G26" s="10">
        <v>27</v>
      </c>
      <c r="H26" s="10">
        <v>0</v>
      </c>
    </row>
    <row r="27" spans="3:8" x14ac:dyDescent="0.3">
      <c r="C27" s="12" t="s">
        <v>134</v>
      </c>
      <c r="D27" s="12" t="s">
        <v>135</v>
      </c>
      <c r="E27" s="12" t="s">
        <v>136</v>
      </c>
      <c r="F27" s="12" t="s">
        <v>137</v>
      </c>
      <c r="G27" s="11">
        <v>248</v>
      </c>
      <c r="H27" s="10">
        <v>0</v>
      </c>
    </row>
    <row r="28" spans="3:8" x14ac:dyDescent="0.3">
      <c r="C28" s="12" t="s">
        <v>138</v>
      </c>
      <c r="D28" s="12" t="s">
        <v>139</v>
      </c>
      <c r="E28" s="12" t="s">
        <v>140</v>
      </c>
      <c r="F28" s="12" t="s">
        <v>141</v>
      </c>
      <c r="G28" s="10">
        <v>4</v>
      </c>
      <c r="H28" s="10">
        <v>110</v>
      </c>
    </row>
    <row r="29" spans="3:8" x14ac:dyDescent="0.3">
      <c r="C29" s="12" t="s">
        <v>142</v>
      </c>
      <c r="D29" s="12" t="s">
        <v>143</v>
      </c>
      <c r="E29" s="12" t="s">
        <v>144</v>
      </c>
      <c r="F29" s="12" t="s">
        <v>145</v>
      </c>
      <c r="G29" s="10">
        <v>1</v>
      </c>
      <c r="H29" s="10">
        <v>125</v>
      </c>
    </row>
    <row r="30" spans="3:8" x14ac:dyDescent="0.3">
      <c r="C30" s="12" t="s">
        <v>146</v>
      </c>
      <c r="D30" s="12" t="s">
        <v>147</v>
      </c>
      <c r="E30" s="12" t="s">
        <v>148</v>
      </c>
      <c r="F30" s="12" t="s">
        <v>149</v>
      </c>
      <c r="G30" s="11">
        <v>148</v>
      </c>
      <c r="H30" s="10">
        <v>1</v>
      </c>
    </row>
    <row r="31" spans="3:8" x14ac:dyDescent="0.3">
      <c r="C31" s="12" t="s">
        <v>150</v>
      </c>
      <c r="D31" s="12" t="s">
        <v>151</v>
      </c>
      <c r="E31" s="12" t="s">
        <v>152</v>
      </c>
      <c r="F31" s="12" t="s">
        <v>133</v>
      </c>
      <c r="G31" s="10">
        <v>25</v>
      </c>
      <c r="H31" s="10">
        <v>52</v>
      </c>
    </row>
    <row r="32" spans="3:8" x14ac:dyDescent="0.3">
      <c r="C32" s="12" t="s">
        <v>153</v>
      </c>
      <c r="D32" s="12" t="s">
        <v>154</v>
      </c>
      <c r="E32" s="12" t="s">
        <v>155</v>
      </c>
      <c r="F32" s="12" t="s">
        <v>156</v>
      </c>
      <c r="G32" s="10">
        <v>38</v>
      </c>
      <c r="H32" s="10">
        <v>0</v>
      </c>
    </row>
    <row r="33" spans="3:8" x14ac:dyDescent="0.3">
      <c r="C33" s="12" t="s">
        <v>157</v>
      </c>
      <c r="D33" s="12" t="s">
        <v>127</v>
      </c>
      <c r="E33" s="12" t="s">
        <v>128</v>
      </c>
      <c r="F33" s="12" t="s">
        <v>158</v>
      </c>
      <c r="G33" s="10">
        <v>12</v>
      </c>
      <c r="H33" s="10">
        <v>89</v>
      </c>
    </row>
    <row r="34" spans="3:8" x14ac:dyDescent="0.3">
      <c r="C34" s="12" t="s">
        <v>159</v>
      </c>
      <c r="D34" s="12" t="s">
        <v>160</v>
      </c>
      <c r="E34" s="12" t="s">
        <v>105</v>
      </c>
      <c r="F34" s="12" t="s">
        <v>161</v>
      </c>
      <c r="G34" s="11">
        <v>243</v>
      </c>
      <c r="H34" s="10">
        <v>0</v>
      </c>
    </row>
    <row r="35" spans="3:8" x14ac:dyDescent="0.3">
      <c r="C35" s="12" t="s">
        <v>162</v>
      </c>
      <c r="D35" s="12" t="s">
        <v>163</v>
      </c>
      <c r="E35" s="12" t="s">
        <v>164</v>
      </c>
      <c r="F35" s="12" t="s">
        <v>145</v>
      </c>
      <c r="G35" s="11">
        <v>137</v>
      </c>
      <c r="H35" s="10">
        <v>0</v>
      </c>
    </row>
    <row r="36" spans="3:8" x14ac:dyDescent="0.3">
      <c r="C36" s="12" t="s">
        <v>165</v>
      </c>
      <c r="D36" s="12" t="s">
        <v>108</v>
      </c>
      <c r="E36" s="12" t="s">
        <v>166</v>
      </c>
      <c r="F36" s="12" t="s">
        <v>167</v>
      </c>
      <c r="G36" s="10">
        <v>9</v>
      </c>
      <c r="H36" s="10">
        <v>328</v>
      </c>
    </row>
    <row r="37" spans="3:8" x14ac:dyDescent="0.3">
      <c r="C37" s="12" t="s">
        <v>168</v>
      </c>
      <c r="D37" s="12" t="s">
        <v>169</v>
      </c>
      <c r="E37" s="12" t="s">
        <v>166</v>
      </c>
      <c r="F37" s="12" t="s">
        <v>170</v>
      </c>
      <c r="G37" s="11">
        <v>110</v>
      </c>
      <c r="H37" s="10">
        <v>175</v>
      </c>
    </row>
    <row r="38" spans="3:8" x14ac:dyDescent="0.3">
      <c r="C38" s="12" t="s">
        <v>171</v>
      </c>
      <c r="D38" s="12" t="s">
        <v>172</v>
      </c>
      <c r="E38" s="12" t="s">
        <v>173</v>
      </c>
      <c r="F38" s="12" t="s">
        <v>174</v>
      </c>
      <c r="G38" s="10">
        <v>2</v>
      </c>
      <c r="H38" s="10">
        <v>55</v>
      </c>
    </row>
    <row r="39" spans="3:8" x14ac:dyDescent="0.3">
      <c r="C39" s="12" t="s">
        <v>175</v>
      </c>
      <c r="D39" s="12" t="s">
        <v>176</v>
      </c>
      <c r="E39" s="12" t="s">
        <v>120</v>
      </c>
      <c r="F39" s="12" t="s">
        <v>177</v>
      </c>
      <c r="G39" s="10">
        <v>1</v>
      </c>
      <c r="H39" s="10">
        <v>46</v>
      </c>
    </row>
    <row r="40" spans="3:8" x14ac:dyDescent="0.3">
      <c r="C40" s="12" t="s">
        <v>178</v>
      </c>
      <c r="D40" s="12" t="s">
        <v>179</v>
      </c>
      <c r="E40" s="12" t="s">
        <v>120</v>
      </c>
      <c r="F40" s="12" t="s">
        <v>180</v>
      </c>
      <c r="G40" s="10">
        <v>1</v>
      </c>
      <c r="H40" s="10">
        <v>90</v>
      </c>
    </row>
    <row r="41" spans="3:8" x14ac:dyDescent="0.3">
      <c r="C41" s="12" t="s">
        <v>181</v>
      </c>
      <c r="D41" s="12" t="s">
        <v>147</v>
      </c>
      <c r="E41" s="12" t="s">
        <v>148</v>
      </c>
      <c r="F41" s="12" t="s">
        <v>133</v>
      </c>
      <c r="G41" s="10">
        <v>7</v>
      </c>
      <c r="H41" s="10">
        <v>33</v>
      </c>
    </row>
    <row r="42" spans="3:8" x14ac:dyDescent="0.3">
      <c r="C42" s="12" t="s">
        <v>182</v>
      </c>
      <c r="D42" s="12" t="s">
        <v>183</v>
      </c>
      <c r="E42" s="12" t="s">
        <v>173</v>
      </c>
      <c r="F42" s="12" t="s">
        <v>184</v>
      </c>
      <c r="G42" s="10">
        <v>20</v>
      </c>
      <c r="H42" s="10">
        <v>63</v>
      </c>
    </row>
    <row r="43" spans="3:8" x14ac:dyDescent="0.3">
      <c r="C43" s="12" t="s">
        <v>185</v>
      </c>
      <c r="D43" s="12" t="s">
        <v>186</v>
      </c>
      <c r="E43" s="12" t="s">
        <v>166</v>
      </c>
      <c r="F43" s="12" t="s">
        <v>187</v>
      </c>
      <c r="G43" s="10">
        <v>20</v>
      </c>
      <c r="H43" s="10">
        <v>0</v>
      </c>
    </row>
    <row r="44" spans="3:8" x14ac:dyDescent="0.3">
      <c r="C44" s="12" t="s">
        <v>188</v>
      </c>
      <c r="D44" s="12" t="s">
        <v>172</v>
      </c>
      <c r="E44" s="12" t="s">
        <v>173</v>
      </c>
      <c r="F44" s="12" t="s">
        <v>189</v>
      </c>
      <c r="G44" s="10">
        <v>25</v>
      </c>
      <c r="H44" s="10">
        <v>22</v>
      </c>
    </row>
    <row r="45" spans="3:8" x14ac:dyDescent="0.3">
      <c r="C45" s="12" t="s">
        <v>190</v>
      </c>
      <c r="D45" s="12" t="s">
        <v>191</v>
      </c>
      <c r="E45" s="12" t="s">
        <v>173</v>
      </c>
      <c r="F45" s="12" t="s">
        <v>192</v>
      </c>
      <c r="G45" s="10">
        <v>37</v>
      </c>
      <c r="H45" s="10">
        <v>20</v>
      </c>
    </row>
    <row r="46" spans="3:8" x14ac:dyDescent="0.3">
      <c r="C46" s="12" t="s">
        <v>193</v>
      </c>
      <c r="D46" s="12" t="s">
        <v>194</v>
      </c>
      <c r="E46" s="12" t="s">
        <v>173</v>
      </c>
      <c r="F46" s="12" t="s">
        <v>184</v>
      </c>
      <c r="G46" s="11">
        <v>127</v>
      </c>
      <c r="H46" s="10">
        <v>0</v>
      </c>
    </row>
    <row r="47" spans="3:8" x14ac:dyDescent="0.3">
      <c r="C47" s="12" t="s">
        <v>195</v>
      </c>
      <c r="D47" s="12" t="s">
        <v>196</v>
      </c>
      <c r="E47" s="12" t="s">
        <v>197</v>
      </c>
      <c r="F47" s="12" t="s">
        <v>198</v>
      </c>
      <c r="G47" s="11">
        <v>64</v>
      </c>
      <c r="H47" s="10">
        <v>0</v>
      </c>
    </row>
    <row r="48" spans="3:8" x14ac:dyDescent="0.3">
      <c r="C48" s="12" t="s">
        <v>199</v>
      </c>
      <c r="D48" s="12" t="s">
        <v>200</v>
      </c>
      <c r="E48" s="12" t="s">
        <v>201</v>
      </c>
      <c r="F48" s="12" t="s">
        <v>202</v>
      </c>
      <c r="G48" s="11">
        <v>152</v>
      </c>
      <c r="H48" s="10">
        <v>4</v>
      </c>
    </row>
    <row r="49" spans="3:8" x14ac:dyDescent="0.3">
      <c r="C49" s="12" t="s">
        <v>203</v>
      </c>
      <c r="D49" s="12" t="s">
        <v>176</v>
      </c>
      <c r="E49" s="12" t="s">
        <v>204</v>
      </c>
      <c r="F49" s="12" t="s">
        <v>205</v>
      </c>
      <c r="G49" s="11">
        <v>105</v>
      </c>
      <c r="H49" s="10">
        <v>0</v>
      </c>
    </row>
    <row r="50" spans="3:8" x14ac:dyDescent="0.3">
      <c r="C50" s="12" t="s">
        <v>206</v>
      </c>
      <c r="D50" s="12" t="s">
        <v>207</v>
      </c>
      <c r="E50" s="12" t="s">
        <v>128</v>
      </c>
      <c r="F50" s="12" t="s">
        <v>208</v>
      </c>
      <c r="G50" s="10">
        <v>2</v>
      </c>
      <c r="H50" s="10">
        <v>140</v>
      </c>
    </row>
    <row r="51" spans="3:8" x14ac:dyDescent="0.3">
      <c r="C51" s="12" t="s">
        <v>209</v>
      </c>
      <c r="D51" s="12" t="s">
        <v>210</v>
      </c>
      <c r="E51" s="12" t="s">
        <v>140</v>
      </c>
      <c r="F51" s="12" t="s">
        <v>211</v>
      </c>
      <c r="G51" s="11">
        <v>212</v>
      </c>
      <c r="H51" s="10">
        <v>0</v>
      </c>
    </row>
    <row r="52" spans="3:8" x14ac:dyDescent="0.3">
      <c r="C52" s="12" t="s">
        <v>212</v>
      </c>
      <c r="D52" s="12" t="s">
        <v>213</v>
      </c>
      <c r="E52" s="12" t="s">
        <v>152</v>
      </c>
      <c r="F52" s="12" t="s">
        <v>214</v>
      </c>
      <c r="G52" s="10">
        <v>1</v>
      </c>
      <c r="H52" s="10">
        <v>141</v>
      </c>
    </row>
    <row r="53" spans="3:8" x14ac:dyDescent="0.3">
      <c r="C53" s="12" t="s">
        <v>215</v>
      </c>
      <c r="D53" s="12" t="s">
        <v>216</v>
      </c>
      <c r="E53" s="12" t="s">
        <v>166</v>
      </c>
      <c r="F53" s="12" t="s">
        <v>211</v>
      </c>
      <c r="G53" s="10">
        <v>1</v>
      </c>
      <c r="H53" s="10">
        <v>373</v>
      </c>
    </row>
    <row r="54" spans="3:8" x14ac:dyDescent="0.3">
      <c r="C54" s="12" t="s">
        <v>217</v>
      </c>
      <c r="D54" s="12" t="s">
        <v>218</v>
      </c>
      <c r="E54" s="12" t="s">
        <v>201</v>
      </c>
      <c r="F54" s="12" t="s">
        <v>219</v>
      </c>
      <c r="G54" s="10">
        <v>10</v>
      </c>
      <c r="H54" s="10">
        <v>129</v>
      </c>
    </row>
    <row r="55" spans="3:8" x14ac:dyDescent="0.3">
      <c r="C55" s="12" t="s">
        <v>220</v>
      </c>
      <c r="D55" s="12" t="s">
        <v>221</v>
      </c>
      <c r="E55" s="12" t="s">
        <v>222</v>
      </c>
      <c r="F55" s="12" t="s">
        <v>223</v>
      </c>
      <c r="G55" s="11">
        <v>83</v>
      </c>
      <c r="H55" s="10">
        <v>0</v>
      </c>
    </row>
    <row r="56" spans="3:8" x14ac:dyDescent="0.3">
      <c r="C56" s="13" t="s">
        <v>224</v>
      </c>
      <c r="D56" s="13" t="s">
        <v>225</v>
      </c>
      <c r="E56" s="13" t="s">
        <v>201</v>
      </c>
      <c r="F56" s="13" t="s">
        <v>226</v>
      </c>
      <c r="G56" s="14">
        <v>81</v>
      </c>
      <c r="H56" s="14">
        <v>0</v>
      </c>
    </row>
    <row r="57" spans="3:8" x14ac:dyDescent="0.3">
      <c r="C57" s="13" t="s">
        <v>224</v>
      </c>
      <c r="D57" s="13" t="s">
        <v>225</v>
      </c>
      <c r="E57" s="13" t="s">
        <v>166</v>
      </c>
      <c r="F57" s="13" t="s">
        <v>226</v>
      </c>
      <c r="G57" s="14">
        <v>56</v>
      </c>
      <c r="H57" s="14">
        <v>0</v>
      </c>
    </row>
    <row r="58" spans="3:8" x14ac:dyDescent="0.3">
      <c r="C58" s="13" t="s">
        <v>224</v>
      </c>
      <c r="D58" s="13" t="s">
        <v>227</v>
      </c>
      <c r="E58" s="13" t="s">
        <v>201</v>
      </c>
      <c r="F58" s="13" t="s">
        <v>214</v>
      </c>
      <c r="G58" s="14">
        <v>58</v>
      </c>
      <c r="H58" s="14">
        <v>0</v>
      </c>
    </row>
    <row r="59" spans="3:8" x14ac:dyDescent="0.3">
      <c r="C59" s="13" t="s">
        <v>224</v>
      </c>
      <c r="D59" s="13" t="s">
        <v>228</v>
      </c>
      <c r="E59" s="13" t="s">
        <v>166</v>
      </c>
      <c r="F59" s="13" t="s">
        <v>202</v>
      </c>
      <c r="G59" s="14">
        <v>37</v>
      </c>
      <c r="H59" s="14">
        <v>0</v>
      </c>
    </row>
    <row r="60" spans="3:8" x14ac:dyDescent="0.3">
      <c r="C60" s="12" t="s">
        <v>229</v>
      </c>
      <c r="D60" s="12" t="s">
        <v>230</v>
      </c>
      <c r="E60" s="12" t="s">
        <v>201</v>
      </c>
      <c r="F60" s="12" t="s">
        <v>231</v>
      </c>
      <c r="G60" s="11">
        <v>251</v>
      </c>
      <c r="H60" s="10">
        <v>0</v>
      </c>
    </row>
    <row r="61" spans="3:8" x14ac:dyDescent="0.3">
      <c r="C61" s="12" t="s">
        <v>232</v>
      </c>
      <c r="D61" s="12" t="s">
        <v>191</v>
      </c>
      <c r="E61" s="12" t="s">
        <v>233</v>
      </c>
      <c r="F61" s="12" t="s">
        <v>234</v>
      </c>
      <c r="G61" s="10">
        <v>19</v>
      </c>
      <c r="H61" s="10">
        <v>0</v>
      </c>
    </row>
    <row r="62" spans="3:8" x14ac:dyDescent="0.3">
      <c r="C62" s="12" t="s">
        <v>235</v>
      </c>
      <c r="D62" s="12" t="s">
        <v>236</v>
      </c>
      <c r="E62" s="12" t="s">
        <v>237</v>
      </c>
      <c r="F62" s="12" t="s">
        <v>238</v>
      </c>
      <c r="G62" s="10">
        <v>11</v>
      </c>
      <c r="H62" s="10">
        <v>2</v>
      </c>
    </row>
    <row r="63" spans="3:8" x14ac:dyDescent="0.3">
      <c r="C63" s="12" t="s">
        <v>239</v>
      </c>
      <c r="D63" s="12" t="s">
        <v>176</v>
      </c>
      <c r="E63" s="12" t="s">
        <v>240</v>
      </c>
      <c r="F63" s="12" t="s">
        <v>241</v>
      </c>
      <c r="G63" s="10">
        <v>18</v>
      </c>
      <c r="H63" s="10">
        <v>0</v>
      </c>
    </row>
    <row r="64" spans="3:8" x14ac:dyDescent="0.3">
      <c r="C64" s="12" t="s">
        <v>242</v>
      </c>
      <c r="D64" s="12" t="s">
        <v>243</v>
      </c>
      <c r="E64" s="12" t="s">
        <v>244</v>
      </c>
      <c r="F64" s="12" t="s">
        <v>245</v>
      </c>
      <c r="G64" s="11">
        <v>47</v>
      </c>
      <c r="H64" s="10">
        <v>0</v>
      </c>
    </row>
    <row r="65" spans="3:10" x14ac:dyDescent="0.3">
      <c r="C65" s="12" t="s">
        <v>246</v>
      </c>
      <c r="D65" s="12" t="s">
        <v>247</v>
      </c>
      <c r="E65" s="12" t="s">
        <v>248</v>
      </c>
      <c r="F65" s="12" t="s">
        <v>249</v>
      </c>
      <c r="G65" s="11">
        <v>45</v>
      </c>
      <c r="H65" s="10">
        <v>0</v>
      </c>
    </row>
    <row r="68" spans="3:10" ht="17.25" x14ac:dyDescent="0.3">
      <c r="C68" s="15" t="s">
        <v>250</v>
      </c>
    </row>
    <row r="70" spans="3:10" x14ac:dyDescent="0.3">
      <c r="C70" t="s">
        <v>251</v>
      </c>
    </row>
    <row r="72" spans="3:10" x14ac:dyDescent="0.3">
      <c r="C72" s="11" t="s">
        <v>89</v>
      </c>
      <c r="E72" s="11" t="s">
        <v>91</v>
      </c>
      <c r="F72" s="11" t="s">
        <v>92</v>
      </c>
      <c r="G72" s="11" t="s">
        <v>93</v>
      </c>
      <c r="H72" s="11" t="s">
        <v>252</v>
      </c>
      <c r="I72" s="11" t="s">
        <v>253</v>
      </c>
      <c r="J72" s="11" t="s">
        <v>265</v>
      </c>
    </row>
    <row r="73" spans="3:10" x14ac:dyDescent="0.3">
      <c r="C73" s="12" t="s">
        <v>103</v>
      </c>
      <c r="E73" s="12" t="s">
        <v>105</v>
      </c>
      <c r="F73" s="12" t="s">
        <v>254</v>
      </c>
      <c r="G73" s="10">
        <v>137</v>
      </c>
      <c r="H73" s="16">
        <v>1</v>
      </c>
      <c r="I73" s="12" t="s">
        <v>255</v>
      </c>
      <c r="J73" s="17">
        <f>+G73/H73</f>
        <v>137</v>
      </c>
    </row>
    <row r="74" spans="3:10" x14ac:dyDescent="0.3">
      <c r="C74" s="12" t="s">
        <v>122</v>
      </c>
      <c r="E74" s="12" t="s">
        <v>124</v>
      </c>
      <c r="F74" s="12" t="s">
        <v>125</v>
      </c>
      <c r="G74" s="10">
        <v>64</v>
      </c>
      <c r="H74" s="16">
        <v>0.98</v>
      </c>
      <c r="I74" s="12" t="s">
        <v>255</v>
      </c>
      <c r="J74" s="17">
        <f t="shared" ref="J74:J89" si="0">+G74/H74</f>
        <v>65.306122448979593</v>
      </c>
    </row>
    <row r="75" spans="3:10" x14ac:dyDescent="0.3">
      <c r="C75" s="12" t="s">
        <v>126</v>
      </c>
      <c r="E75" s="12" t="s">
        <v>128</v>
      </c>
      <c r="F75" s="12" t="s">
        <v>129</v>
      </c>
      <c r="G75" s="10">
        <v>126</v>
      </c>
      <c r="H75" s="16">
        <v>0.83</v>
      </c>
      <c r="I75" s="12" t="s">
        <v>256</v>
      </c>
      <c r="J75" s="17">
        <f t="shared" si="0"/>
        <v>151.80722891566265</v>
      </c>
    </row>
    <row r="76" spans="3:10" x14ac:dyDescent="0.3">
      <c r="C76" s="12" t="s">
        <v>134</v>
      </c>
      <c r="E76" s="12" t="s">
        <v>136</v>
      </c>
      <c r="F76" s="12" t="s">
        <v>257</v>
      </c>
      <c r="G76" s="10">
        <v>248</v>
      </c>
      <c r="H76" s="16">
        <v>1</v>
      </c>
      <c r="I76" s="12" t="s">
        <v>255</v>
      </c>
      <c r="J76" s="17">
        <f t="shared" si="0"/>
        <v>248</v>
      </c>
    </row>
    <row r="77" spans="3:10" x14ac:dyDescent="0.3">
      <c r="C77" s="12" t="s">
        <v>146</v>
      </c>
      <c r="E77" s="12" t="s">
        <v>148</v>
      </c>
      <c r="F77" s="12" t="s">
        <v>149</v>
      </c>
      <c r="G77" s="10">
        <v>148</v>
      </c>
      <c r="H77" s="16">
        <v>0.99</v>
      </c>
      <c r="I77" s="12" t="s">
        <v>255</v>
      </c>
      <c r="J77" s="17">
        <f t="shared" si="0"/>
        <v>149.49494949494951</v>
      </c>
    </row>
    <row r="78" spans="3:10" x14ac:dyDescent="0.3">
      <c r="C78" s="12" t="s">
        <v>159</v>
      </c>
      <c r="E78" s="12" t="s">
        <v>105</v>
      </c>
      <c r="F78" s="12" t="s">
        <v>211</v>
      </c>
      <c r="G78" s="10">
        <v>243</v>
      </c>
      <c r="H78" s="16">
        <v>1</v>
      </c>
      <c r="I78" s="12" t="s">
        <v>258</v>
      </c>
      <c r="J78" s="17">
        <f t="shared" si="0"/>
        <v>243</v>
      </c>
    </row>
    <row r="79" spans="3:10" x14ac:dyDescent="0.3">
      <c r="C79" s="12" t="s">
        <v>162</v>
      </c>
      <c r="E79" s="12" t="s">
        <v>164</v>
      </c>
      <c r="F79" s="12" t="s">
        <v>145</v>
      </c>
      <c r="G79" s="10">
        <v>137</v>
      </c>
      <c r="H79" s="16">
        <v>1</v>
      </c>
      <c r="I79" s="12" t="s">
        <v>255</v>
      </c>
      <c r="J79" s="17">
        <f t="shared" si="0"/>
        <v>137</v>
      </c>
    </row>
    <row r="80" spans="3:10" x14ac:dyDescent="0.3">
      <c r="C80" s="12" t="s">
        <v>168</v>
      </c>
      <c r="E80" s="12" t="s">
        <v>166</v>
      </c>
      <c r="F80" s="12" t="s">
        <v>259</v>
      </c>
      <c r="G80" s="10">
        <v>110</v>
      </c>
      <c r="H80" s="16">
        <v>0.39</v>
      </c>
      <c r="I80" s="12" t="s">
        <v>256</v>
      </c>
      <c r="J80" s="17">
        <f t="shared" si="0"/>
        <v>282.05128205128204</v>
      </c>
    </row>
    <row r="81" spans="3:10" x14ac:dyDescent="0.3">
      <c r="C81" s="12" t="s">
        <v>193</v>
      </c>
      <c r="E81" s="12" t="s">
        <v>173</v>
      </c>
      <c r="F81" s="12" t="s">
        <v>260</v>
      </c>
      <c r="G81" s="10">
        <v>127</v>
      </c>
      <c r="H81" s="16">
        <v>1</v>
      </c>
      <c r="I81" s="12" t="s">
        <v>255</v>
      </c>
      <c r="J81" s="17">
        <f t="shared" si="0"/>
        <v>127</v>
      </c>
    </row>
    <row r="82" spans="3:10" x14ac:dyDescent="0.3">
      <c r="C82" s="12" t="s">
        <v>195</v>
      </c>
      <c r="E82" s="12" t="s">
        <v>197</v>
      </c>
      <c r="F82" s="12" t="s">
        <v>198</v>
      </c>
      <c r="G82" s="10">
        <v>64</v>
      </c>
      <c r="H82" s="16">
        <v>1</v>
      </c>
      <c r="I82" s="12" t="s">
        <v>255</v>
      </c>
      <c r="J82" s="17">
        <f t="shared" si="0"/>
        <v>64</v>
      </c>
    </row>
    <row r="83" spans="3:10" x14ac:dyDescent="0.3">
      <c r="C83" s="12" t="s">
        <v>199</v>
      </c>
      <c r="E83" s="12" t="s">
        <v>201</v>
      </c>
      <c r="F83" s="12" t="s">
        <v>202</v>
      </c>
      <c r="G83" s="10">
        <v>152</v>
      </c>
      <c r="H83" s="16">
        <v>0.97</v>
      </c>
      <c r="I83" s="12" t="s">
        <v>255</v>
      </c>
      <c r="J83" s="17">
        <f t="shared" si="0"/>
        <v>156.70103092783506</v>
      </c>
    </row>
    <row r="84" spans="3:10" x14ac:dyDescent="0.3">
      <c r="C84" s="12" t="s">
        <v>203</v>
      </c>
      <c r="E84" s="12" t="s">
        <v>261</v>
      </c>
      <c r="F84" s="12" t="s">
        <v>205</v>
      </c>
      <c r="G84" s="10">
        <v>105</v>
      </c>
      <c r="H84" s="16">
        <v>1</v>
      </c>
      <c r="I84" s="12" t="s">
        <v>255</v>
      </c>
      <c r="J84" s="17">
        <f t="shared" si="0"/>
        <v>105</v>
      </c>
    </row>
    <row r="85" spans="3:10" x14ac:dyDescent="0.3">
      <c r="C85" s="12" t="s">
        <v>209</v>
      </c>
      <c r="E85" s="12" t="s">
        <v>140</v>
      </c>
      <c r="F85" s="12" t="s">
        <v>211</v>
      </c>
      <c r="G85" s="10">
        <v>212</v>
      </c>
      <c r="H85" s="16">
        <v>1</v>
      </c>
      <c r="I85" s="12" t="s">
        <v>262</v>
      </c>
      <c r="J85" s="17">
        <f t="shared" si="0"/>
        <v>212</v>
      </c>
    </row>
    <row r="86" spans="3:10" x14ac:dyDescent="0.3">
      <c r="C86" s="12" t="s">
        <v>220</v>
      </c>
      <c r="E86" s="12" t="s">
        <v>222</v>
      </c>
      <c r="F86" s="12" t="s">
        <v>223</v>
      </c>
      <c r="G86" s="10">
        <v>83</v>
      </c>
      <c r="H86" s="16">
        <v>1</v>
      </c>
      <c r="I86" s="12" t="s">
        <v>255</v>
      </c>
      <c r="J86" s="17">
        <f t="shared" si="0"/>
        <v>83</v>
      </c>
    </row>
    <row r="87" spans="3:10" x14ac:dyDescent="0.3">
      <c r="C87" s="12" t="s">
        <v>229</v>
      </c>
      <c r="E87" s="12" t="s">
        <v>201</v>
      </c>
      <c r="F87" s="12" t="s">
        <v>263</v>
      </c>
      <c r="G87" s="10">
        <v>251</v>
      </c>
      <c r="H87" s="16">
        <v>1</v>
      </c>
      <c r="I87" s="12" t="s">
        <v>255</v>
      </c>
      <c r="J87" s="17">
        <f t="shared" si="0"/>
        <v>251</v>
      </c>
    </row>
    <row r="88" spans="3:10" x14ac:dyDescent="0.3">
      <c r="C88" s="12" t="s">
        <v>242</v>
      </c>
      <c r="E88" s="12" t="s">
        <v>244</v>
      </c>
      <c r="F88" s="12" t="s">
        <v>245</v>
      </c>
      <c r="G88" s="10">
        <v>47</v>
      </c>
      <c r="H88" s="16">
        <v>1</v>
      </c>
      <c r="I88" s="12" t="s">
        <v>255</v>
      </c>
      <c r="J88" s="17">
        <f t="shared" si="0"/>
        <v>47</v>
      </c>
    </row>
    <row r="89" spans="3:10" x14ac:dyDescent="0.3">
      <c r="C89" s="12" t="s">
        <v>246</v>
      </c>
      <c r="E89" s="12" t="s">
        <v>248</v>
      </c>
      <c r="F89" s="12" t="s">
        <v>249</v>
      </c>
      <c r="G89" s="10">
        <v>45</v>
      </c>
      <c r="H89" s="16">
        <v>1</v>
      </c>
      <c r="I89" s="12" t="s">
        <v>255</v>
      </c>
      <c r="J89" s="17">
        <f t="shared" si="0"/>
        <v>45</v>
      </c>
    </row>
    <row r="93" spans="3:10" x14ac:dyDescent="0.3">
      <c r="C93" t="s">
        <v>264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9540-A353-4D65-A0DB-8D4E70CDD50E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ECA1-3302-4C0C-993D-AE8593DC55EF}">
  <dimension ref="A1"/>
  <sheetViews>
    <sheetView workbookViewId="0">
      <selection activeCell="F19" sqref="F19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Sheet4</vt:lpstr>
      <vt:lpstr>항공사고</vt:lpstr>
      <vt:lpstr>Deterministic</vt:lpstr>
      <vt:lpstr>Frequency-Severity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박상대(Park Sang Dae)</dc:creator>
  <cp:lastModifiedBy>박상대(Park Sang Dae)</cp:lastModifiedBy>
  <dcterms:created xsi:type="dcterms:W3CDTF">2026-05-18T09:02:00Z</dcterms:created>
  <dcterms:modified xsi:type="dcterms:W3CDTF">2026-05-21T06:54:32Z</dcterms:modified>
</cp:coreProperties>
</file>